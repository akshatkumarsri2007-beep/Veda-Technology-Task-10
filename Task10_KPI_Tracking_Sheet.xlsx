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activeTab="1"/>
  </bookViews>
  <sheets>
    <sheet name="RawData" sheetId="1" r:id="rId1"/>
    <sheet name="KPI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<sst xmlns="http://schemas.openxmlformats.org/spreadsheetml/2006/main" count="637" uniqueCount="255">
  <si>
    <t>Order ID</t>
  </si>
  <si>
    <t>Order Date</t>
  </si>
  <si>
    <t>Customer Name</t>
  </si>
  <si>
    <t>Region</t>
  </si>
  <si>
    <t>Category</t>
  </si>
  <si>
    <t>Product Name</t>
  </si>
  <si>
    <t>Quantity</t>
  </si>
  <si>
    <t>Unit Price</t>
  </si>
  <si>
    <t>Sales</t>
  </si>
  <si>
    <t>ORD-1062</t>
  </si>
  <si>
    <t>01-03-2026</t>
  </si>
  <si>
    <t>Customer 28</t>
  </si>
  <si>
    <t>North</t>
  </si>
  <si>
    <t>Furniture</t>
  </si>
  <si>
    <t>Sofa</t>
  </si>
  <si>
    <t>ORD-1065</t>
  </si>
  <si>
    <t>01-06-2026</t>
  </si>
  <si>
    <t>Customer 25</t>
  </si>
  <si>
    <t>South</t>
  </si>
  <si>
    <t>Technology</t>
  </si>
  <si>
    <t>Laptop Stand</t>
  </si>
  <si>
    <t>ORD-1071</t>
  </si>
  <si>
    <t>01-08-2026</t>
  </si>
  <si>
    <t>West</t>
  </si>
  <si>
    <t>Monitor</t>
  </si>
  <si>
    <t>ORD-1080</t>
  </si>
  <si>
    <t>Customer 38</t>
  </si>
  <si>
    <t>Office Supplies</t>
  </si>
  <si>
    <t>Sticky Notes</t>
  </si>
  <si>
    <t>ORD-1039</t>
  </si>
  <si>
    <t>02-09-2026</t>
  </si>
  <si>
    <t>Customer 33</t>
  </si>
  <si>
    <t>ORD-1041</t>
  </si>
  <si>
    <t>03-03-2026</t>
  </si>
  <si>
    <t>Customer 27</t>
  </si>
  <si>
    <t>East</t>
  </si>
  <si>
    <t>ORD-1043</t>
  </si>
  <si>
    <t>03-06-2026</t>
  </si>
  <si>
    <t>Customer 40</t>
  </si>
  <si>
    <t>Study Table</t>
  </si>
  <si>
    <t>ORD-1066</t>
  </si>
  <si>
    <t>04-06-2026</t>
  </si>
  <si>
    <t>Customer 14</t>
  </si>
  <si>
    <t>ORD-1093</t>
  </si>
  <si>
    <t>Customer 37</t>
  </si>
  <si>
    <t>ORD-1095</t>
  </si>
  <si>
    <t>04-08-2026</t>
  </si>
  <si>
    <t>Customer 30</t>
  </si>
  <si>
    <t>Office Chair</t>
  </si>
  <si>
    <t>ORD-1046</t>
  </si>
  <si>
    <t>05-01-2026</t>
  </si>
  <si>
    <t>Customer 7</t>
  </si>
  <si>
    <t>ORD-1088</t>
  </si>
  <si>
    <t>05-02-2026</t>
  </si>
  <si>
    <t>Customer 13</t>
  </si>
  <si>
    <t>Wireless Mouse</t>
  </si>
  <si>
    <t>ORD-1064</t>
  </si>
  <si>
    <t>05-03-2026</t>
  </si>
  <si>
    <t>Customer 21</t>
  </si>
  <si>
    <t>USB Hub</t>
  </si>
  <si>
    <t>ORD-1030</t>
  </si>
  <si>
    <t>05-05-2026</t>
  </si>
  <si>
    <t>Filing Cabinet</t>
  </si>
  <si>
    <t>ORD-1016</t>
  </si>
  <si>
    <t>05-07-2026</t>
  </si>
  <si>
    <t>Customer 4</t>
  </si>
  <si>
    <t>ORD-1037</t>
  </si>
  <si>
    <t>05-08-2026</t>
  </si>
  <si>
    <t>Customer 19</t>
  </si>
  <si>
    <t>Keyboard</t>
  </si>
  <si>
    <t>ORD-1005</t>
  </si>
  <si>
    <t>Customer 22</t>
  </si>
  <si>
    <t>ORD-1031</t>
  </si>
  <si>
    <t>ORD-1011</t>
  </si>
  <si>
    <t>06-02-2026</t>
  </si>
  <si>
    <t>Customer 16</t>
  </si>
  <si>
    <t>ORD-1040</t>
  </si>
  <si>
    <t>06-04-2026</t>
  </si>
  <si>
    <t>Desk Organizer</t>
  </si>
  <si>
    <t>ORD-1045</t>
  </si>
  <si>
    <t>06-05-2026</t>
  </si>
  <si>
    <t>Customer 35</t>
  </si>
  <si>
    <t>ORD-1077</t>
  </si>
  <si>
    <t>06-09-2026</t>
  </si>
  <si>
    <t>ORD-1044</t>
  </si>
  <si>
    <t>07-02-2026</t>
  </si>
  <si>
    <t>Customer 23</t>
  </si>
  <si>
    <t>ORD-1024</t>
  </si>
  <si>
    <t>07-03-2026</t>
  </si>
  <si>
    <t>Customer 39</t>
  </si>
  <si>
    <t>Bluetooth Speaker</t>
  </si>
  <si>
    <t>ORD-1052</t>
  </si>
  <si>
    <t>09-08-2026</t>
  </si>
  <si>
    <t>Customer 3</t>
  </si>
  <si>
    <t>Stapler</t>
  </si>
  <si>
    <t>ORD-1027</t>
  </si>
  <si>
    <t>11-01-2026</t>
  </si>
  <si>
    <t>Customer 1</t>
  </si>
  <si>
    <t>ORD-1087</t>
  </si>
  <si>
    <t>11-02-2026</t>
  </si>
  <si>
    <t>ORD-1063</t>
  </si>
  <si>
    <t>11-04-2026</t>
  </si>
  <si>
    <t>ORD-1096</t>
  </si>
  <si>
    <t>11-08-2026</t>
  </si>
  <si>
    <t>Highlighters</t>
  </si>
  <si>
    <t>ORD-1070</t>
  </si>
  <si>
    <t>13-01-2026</t>
  </si>
  <si>
    <t>Customer 5</t>
  </si>
  <si>
    <t>ORD-1055</t>
  </si>
  <si>
    <t>ORD-1058</t>
  </si>
  <si>
    <t>ORD-1023</t>
  </si>
  <si>
    <t>13-02-2026</t>
  </si>
  <si>
    <t>ORD-1033</t>
  </si>
  <si>
    <t>13-03-2026</t>
  </si>
  <si>
    <t>Bookshelf</t>
  </si>
  <si>
    <t>ORD-1026</t>
  </si>
  <si>
    <t>13-08-2026</t>
  </si>
  <si>
    <t>ORD-1084</t>
  </si>
  <si>
    <t>14-01-2026</t>
  </si>
  <si>
    <t>ORD-1002</t>
  </si>
  <si>
    <t>14-02-2026</t>
  </si>
  <si>
    <t>ORD-1042</t>
  </si>
  <si>
    <t>14-05-2026</t>
  </si>
  <si>
    <t>Customer 26</t>
  </si>
  <si>
    <t>ORD-1067</t>
  </si>
  <si>
    <t>14-06-2026</t>
  </si>
  <si>
    <t>ORD-1081</t>
  </si>
  <si>
    <t>14-07-2026</t>
  </si>
  <si>
    <t>ORD-1036</t>
  </si>
  <si>
    <t>Binder Clips</t>
  </si>
  <si>
    <t>ORD-1020</t>
  </si>
  <si>
    <t>14-09-2026</t>
  </si>
  <si>
    <t>Customer 20</t>
  </si>
  <si>
    <t>ORD-1060</t>
  </si>
  <si>
    <t>15-01-2026</t>
  </si>
  <si>
    <t>Customer 17</t>
  </si>
  <si>
    <t>Printer Paper</t>
  </si>
  <si>
    <t>ORD-1099</t>
  </si>
  <si>
    <t>ORD-1050</t>
  </si>
  <si>
    <t>15-05-2026</t>
  </si>
  <si>
    <t>ORD-1075</t>
  </si>
  <si>
    <t>15-08-2026</t>
  </si>
  <si>
    <t>Customer 36</t>
  </si>
  <si>
    <t>ORD-1015</t>
  </si>
  <si>
    <t>16-05-2026</t>
  </si>
  <si>
    <t>ORD-1047</t>
  </si>
  <si>
    <t>ORD-1003</t>
  </si>
  <si>
    <t>16-09-2026</t>
  </si>
  <si>
    <t>ORD-1013</t>
  </si>
  <si>
    <t>17-01-2026</t>
  </si>
  <si>
    <t>ORD-1006</t>
  </si>
  <si>
    <t>17-02-2026</t>
  </si>
  <si>
    <t>ORD-1069</t>
  </si>
  <si>
    <t>ORD-1049</t>
  </si>
  <si>
    <t>ORD-1056</t>
  </si>
  <si>
    <t>17-05-2026</t>
  </si>
  <si>
    <t>File Folders</t>
  </si>
  <si>
    <t>ORD-1086</t>
  </si>
  <si>
    <t>17-06-2026</t>
  </si>
  <si>
    <t>ORD-1053</t>
  </si>
  <si>
    <t>18-04-2026</t>
  </si>
  <si>
    <t>ORD-1014</t>
  </si>
  <si>
    <t>19-04-2026</t>
  </si>
  <si>
    <t>ORD-1025</t>
  </si>
  <si>
    <t>ORD-1034</t>
  </si>
  <si>
    <t>20-02-2026</t>
  </si>
  <si>
    <t>ORD-1089</t>
  </si>
  <si>
    <t>20-03-2026</t>
  </si>
  <si>
    <t>ORD-1021</t>
  </si>
  <si>
    <t>Customer 32</t>
  </si>
  <si>
    <t>ORD-1017</t>
  </si>
  <si>
    <t>ORD-1079</t>
  </si>
  <si>
    <t>ORD-1078</t>
  </si>
  <si>
    <t>20-05-2026</t>
  </si>
  <si>
    <t>Customer 15</t>
  </si>
  <si>
    <t>ORD-1054</t>
  </si>
  <si>
    <t>21-03-2026</t>
  </si>
  <si>
    <t>Customer 12</t>
  </si>
  <si>
    <t>ORD-1010</t>
  </si>
  <si>
    <t>21-08-2026</t>
  </si>
  <si>
    <t>ORD-1083</t>
  </si>
  <si>
    <t>22-06-2026</t>
  </si>
  <si>
    <t>ORD-1074</t>
  </si>
  <si>
    <t>22-08-2026</t>
  </si>
  <si>
    <t>ORD-1007</t>
  </si>
  <si>
    <t>23-01-2026</t>
  </si>
  <si>
    <t>ORD-1076</t>
  </si>
  <si>
    <t>23-03-2026</t>
  </si>
  <si>
    <t>ORD-1082</t>
  </si>
  <si>
    <t>23-04-2026</t>
  </si>
  <si>
    <t>Customer 2</t>
  </si>
  <si>
    <t>ORD-1073</t>
  </si>
  <si>
    <t>ORD-1004</t>
  </si>
  <si>
    <t>ORD-1029</t>
  </si>
  <si>
    <t>23-05-2026</t>
  </si>
  <si>
    <t>ORD-1098</t>
  </si>
  <si>
    <t>ORD-1092</t>
  </si>
  <si>
    <t>23-07-2026</t>
  </si>
  <si>
    <t>ORD-1057</t>
  </si>
  <si>
    <t>24-04-2026</t>
  </si>
  <si>
    <t>ORD-1100</t>
  </si>
  <si>
    <t>24-06-2026</t>
  </si>
  <si>
    <t>Customer 34</t>
  </si>
  <si>
    <t>ORD-1019</t>
  </si>
  <si>
    <t>ORD-1072</t>
  </si>
  <si>
    <t>24-07-2026</t>
  </si>
  <si>
    <t>ORD-1061</t>
  </si>
  <si>
    <t>25-02-2026</t>
  </si>
  <si>
    <t>ORD-1091</t>
  </si>
  <si>
    <t>25-03-2026</t>
  </si>
  <si>
    <t>ORD-1048</t>
  </si>
  <si>
    <t>25-06-2026</t>
  </si>
  <si>
    <t>ORD-1012</t>
  </si>
  <si>
    <t>25-08-2026</t>
  </si>
  <si>
    <t>ORD-1085</t>
  </si>
  <si>
    <t>ORD-1032</t>
  </si>
  <si>
    <t>26-07-2026</t>
  </si>
  <si>
    <t>ORD-1022</t>
  </si>
  <si>
    <t>27-02-2026</t>
  </si>
  <si>
    <t>ORD-1001</t>
  </si>
  <si>
    <t>Customer 9</t>
  </si>
  <si>
    <t>ORD-1051</t>
  </si>
  <si>
    <t>Customer 24</t>
  </si>
  <si>
    <t>ORD-1009</t>
  </si>
  <si>
    <t>27-04-2026</t>
  </si>
  <si>
    <t>ORD-1094</t>
  </si>
  <si>
    <t>27-06-2026</t>
  </si>
  <si>
    <t>ORD-1090</t>
  </si>
  <si>
    <t>27-08-2026</t>
  </si>
  <si>
    <t>ORD-1097</t>
  </si>
  <si>
    <t>Bed Frame</t>
  </si>
  <si>
    <t>ORD-1068</t>
  </si>
  <si>
    <t>28-03-2026</t>
  </si>
  <si>
    <t>ORD-1035</t>
  </si>
  <si>
    <t>28-07-2026</t>
  </si>
  <si>
    <t>ORD-1018</t>
  </si>
  <si>
    <t>28-08-2026</t>
  </si>
  <si>
    <t>Customer 8</t>
  </si>
  <si>
    <t>ORD-1059</t>
  </si>
  <si>
    <t>29-06-2026</t>
  </si>
  <si>
    <t>ORD-1038</t>
  </si>
  <si>
    <t>30-01-2026</t>
  </si>
  <si>
    <t>ORD-1028</t>
  </si>
  <si>
    <t>31-01-2026</t>
  </si>
  <si>
    <t>ORD-1008</t>
  </si>
  <si>
    <t>31-05-2026</t>
  </si>
  <si>
    <t>Simple KPI Tracking Sheet</t>
  </si>
  <si>
    <t>Product</t>
  </si>
  <si>
    <t>Total Sales</t>
  </si>
  <si>
    <t>Auto-updates from RawData (SalesTable)</t>
  </si>
  <si>
    <t>Total Revenue</t>
  </si>
  <si>
    <t>Total Units Sold</t>
  </si>
  <si>
    <t>Total Orders</t>
  </si>
  <si>
    <t>Average Order Value</t>
  </si>
  <si>
    <t>Top Product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</si>
</sst>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&quot;₹&quot;#,##0.00"/>
  </numFmts>
  <fonts count="28">
    <font>
      <sz val="11"/>
      <color theme="1"/>
      <name val="Calibri"/>
      <charset val="1"/>
    </font>
    <font>
      <b/>
      <sz val="16"/>
      <color rgb="FF1F4E78"/>
      <name val="Arial"/>
      <charset val="1"/>
    </font>
    <font>
      <b/>
      <sz val="11"/>
      <name val="Arial"/>
      <charset val="1"/>
    </font>
    <font>
      <i/>
      <sz val="9"/>
      <color rgb="FF808080"/>
      <name val="Arial"/>
      <charset val="1"/>
    </font>
    <font>
      <b/>
      <sz val="12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AF1F8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Border="0" applyAlignment="0" applyProtection="0"/>
    <xf numFmtId="177" fontId="7" fillId="0" borderId="0" applyBorder="0" applyAlignment="0" applyProtection="0"/>
    <xf numFmtId="9" fontId="7" fillId="0" borderId="0" applyBorder="0" applyAlignment="0" applyProtection="0"/>
    <xf numFmtId="178" fontId="7" fillId="0" borderId="0" applyBorder="0" applyAlignment="0" applyProtection="0"/>
    <xf numFmtId="179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Border="1"/>
    <xf numFmtId="0" fontId="2" fillId="0" borderId="0" xfId="0" applyFont="1"/>
    <xf numFmtId="0" fontId="3" fillId="0" borderId="0" xfId="0" applyFont="1" applyBorder="1"/>
    <xf numFmtId="180" fontId="0" fillId="0" borderId="0" xfId="0" applyNumberFormat="1"/>
    <xf numFmtId="0" fontId="2" fillId="2" borderId="1" xfId="0" applyFont="1" applyFill="1" applyBorder="1"/>
    <xf numFmtId="180" fontId="4" fillId="2" borderId="1" xfId="0" applyNumberFormat="1" applyFont="1" applyFill="1" applyBorder="1"/>
    <xf numFmtId="3" fontId="4" fillId="2" borderId="1" xfId="0" applyNumberFormat="1" applyFont="1" applyFill="1" applyBorder="1"/>
    <xf numFmtId="0" fontId="4" fillId="2" borderId="1" xfId="0" applyFont="1" applyFill="1" applyBorder="1"/>
    <xf numFmtId="0" fontId="0" fillId="0" borderId="0" xfId="0" applyAlignment="1"/>
    <xf numFmtId="0" fontId="5" fillId="3" borderId="0" xfId="0" applyFont="1" applyFill="1" applyAlignment="1">
      <alignment horizontal="center"/>
    </xf>
    <xf numFmtId="0" fontId="6" fillId="0" borderId="0" xfId="0" applyFont="1" applyAlignment="1"/>
    <xf numFmtId="180" fontId="6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C6D9"/>
      <rgbColor rgb="00808080"/>
      <rgbColor rgb="009999FF"/>
      <rgbColor rgb="00993366"/>
      <rgbColor rgb="00FFFFCC"/>
      <rgbColor rgb="00EAF1F8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lesTable" displayName="SalesTable" ref="A1:I101" totalsRowShown="0">
  <autoFilter xmlns:etc="http://www.wps.cn/officeDocument/2017/etCustomData" ref="A1:I101" etc:filterBottomFollowUsedRange="0"/>
  <tableColumns count="9">
    <tableColumn id="1" name="Order ID"/>
    <tableColumn id="2" name="Order Date"/>
    <tableColumn id="3" name="Customer Name"/>
    <tableColumn id="4" name="Region"/>
    <tableColumn id="5" name="Category"/>
    <tableColumn id="6" name="Product Name"/>
    <tableColumn id="7" name="Quantity"/>
    <tableColumn id="8" name="Unit Price"/>
    <tableColumn id="9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1" width="11" style="9" customWidth="1"/>
    <col min="2" max="2" width="13" style="9" customWidth="1"/>
    <col min="3" max="3" width="16" style="9" customWidth="1"/>
    <col min="4" max="4" width="9" style="9" customWidth="1"/>
    <col min="5" max="5" width="18" style="9" customWidth="1"/>
    <col min="6" max="6" width="20" style="9" customWidth="1"/>
    <col min="7" max="7" width="11" style="9" customWidth="1"/>
    <col min="8" max="8" width="13" style="9" customWidth="1"/>
    <col min="9" max="9" width="12" style="9" customWidth="1"/>
  </cols>
  <sheetData>
    <row r="1" ht="15" customHeight="1" spans="1: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ht="15" customHeight="1" spans="1:9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1">
        <v>4</v>
      </c>
      <c r="H2" s="12">
        <v>4938.75</v>
      </c>
      <c r="I2" s="12">
        <v>19755</v>
      </c>
    </row>
    <row r="3" ht="15" customHeight="1" spans="1:9">
      <c r="A3" s="11" t="s">
        <v>15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>
        <v>4</v>
      </c>
      <c r="H3" s="12">
        <v>3537.44</v>
      </c>
      <c r="I3" s="12">
        <v>14149.76</v>
      </c>
    </row>
    <row r="4" ht="15" customHeight="1" spans="1:9">
      <c r="A4" s="11" t="s">
        <v>21</v>
      </c>
      <c r="B4" s="11" t="s">
        <v>22</v>
      </c>
      <c r="C4" s="11" t="s">
        <v>17</v>
      </c>
      <c r="D4" s="11" t="s">
        <v>23</v>
      </c>
      <c r="E4" s="11" t="s">
        <v>19</v>
      </c>
      <c r="F4" s="11" t="s">
        <v>24</v>
      </c>
      <c r="G4" s="11">
        <v>4</v>
      </c>
      <c r="H4" s="12">
        <v>5831.26</v>
      </c>
      <c r="I4" s="12">
        <v>23325.04</v>
      </c>
    </row>
    <row r="5" ht="15" customHeight="1" spans="1:9">
      <c r="A5" s="11" t="s">
        <v>25</v>
      </c>
      <c r="B5" s="11" t="s">
        <v>22</v>
      </c>
      <c r="C5" s="11" t="s">
        <v>26</v>
      </c>
      <c r="D5" s="11" t="s">
        <v>12</v>
      </c>
      <c r="E5" s="11" t="s">
        <v>27</v>
      </c>
      <c r="F5" s="11" t="s">
        <v>28</v>
      </c>
      <c r="G5" s="11">
        <v>7</v>
      </c>
      <c r="H5" s="12">
        <v>206.95</v>
      </c>
      <c r="I5" s="12">
        <v>1448.65</v>
      </c>
    </row>
    <row r="6" ht="15" customHeight="1" spans="1:9">
      <c r="A6" s="11" t="s">
        <v>29</v>
      </c>
      <c r="B6" s="11" t="s">
        <v>30</v>
      </c>
      <c r="C6" s="11" t="s">
        <v>31</v>
      </c>
      <c r="D6" s="11" t="s">
        <v>12</v>
      </c>
      <c r="E6" s="11" t="s">
        <v>19</v>
      </c>
      <c r="F6" s="11" t="s">
        <v>24</v>
      </c>
      <c r="G6" s="11">
        <v>3</v>
      </c>
      <c r="H6" s="12">
        <v>737.97</v>
      </c>
      <c r="I6" s="12">
        <v>2213.91</v>
      </c>
    </row>
    <row r="7" ht="15" customHeight="1" spans="1:9">
      <c r="A7" s="11" t="s">
        <v>32</v>
      </c>
      <c r="B7" s="11" t="s">
        <v>33</v>
      </c>
      <c r="C7" s="11" t="s">
        <v>34</v>
      </c>
      <c r="D7" s="11" t="s">
        <v>35</v>
      </c>
      <c r="E7" s="11" t="s">
        <v>19</v>
      </c>
      <c r="F7" s="11" t="s">
        <v>20</v>
      </c>
      <c r="G7" s="11">
        <v>1</v>
      </c>
      <c r="H7" s="12">
        <v>5069.24</v>
      </c>
      <c r="I7" s="12">
        <v>5069.24</v>
      </c>
    </row>
    <row r="8" ht="15" customHeight="1" spans="1:9">
      <c r="A8" s="11" t="s">
        <v>36</v>
      </c>
      <c r="B8" s="11" t="s">
        <v>37</v>
      </c>
      <c r="C8" s="11" t="s">
        <v>38</v>
      </c>
      <c r="D8" s="11" t="s">
        <v>12</v>
      </c>
      <c r="E8" s="11" t="s">
        <v>13</v>
      </c>
      <c r="F8" s="11" t="s">
        <v>39</v>
      </c>
      <c r="G8" s="11">
        <v>2</v>
      </c>
      <c r="H8" s="12">
        <v>1625.76</v>
      </c>
      <c r="I8" s="12">
        <v>3251.52</v>
      </c>
    </row>
    <row r="9" ht="15" customHeight="1" spans="1:9">
      <c r="A9" s="11" t="s">
        <v>40</v>
      </c>
      <c r="B9" s="11" t="s">
        <v>41</v>
      </c>
      <c r="C9" s="11" t="s">
        <v>42</v>
      </c>
      <c r="D9" s="11" t="s">
        <v>23</v>
      </c>
      <c r="E9" s="11" t="s">
        <v>13</v>
      </c>
      <c r="F9" s="11" t="s">
        <v>14</v>
      </c>
      <c r="G9" s="11">
        <v>1</v>
      </c>
      <c r="H9" s="12">
        <v>5602.31</v>
      </c>
      <c r="I9" s="12">
        <v>5602.31</v>
      </c>
    </row>
    <row r="10" ht="15" customHeight="1" spans="1:9">
      <c r="A10" s="11" t="s">
        <v>43</v>
      </c>
      <c r="B10" s="11" t="s">
        <v>41</v>
      </c>
      <c r="C10" s="11" t="s">
        <v>44</v>
      </c>
      <c r="D10" s="11" t="s">
        <v>12</v>
      </c>
      <c r="E10" s="11" t="s">
        <v>19</v>
      </c>
      <c r="F10" s="11" t="s">
        <v>24</v>
      </c>
      <c r="G10" s="11">
        <v>2</v>
      </c>
      <c r="H10" s="12">
        <v>6430.95</v>
      </c>
      <c r="I10" s="12">
        <v>12861.9</v>
      </c>
    </row>
    <row r="11" ht="15" customHeight="1" spans="1:9">
      <c r="A11" s="11" t="s">
        <v>45</v>
      </c>
      <c r="B11" s="11" t="s">
        <v>46</v>
      </c>
      <c r="C11" s="11" t="s">
        <v>47</v>
      </c>
      <c r="D11" s="11" t="s">
        <v>18</v>
      </c>
      <c r="E11" s="11" t="s">
        <v>13</v>
      </c>
      <c r="F11" s="11" t="s">
        <v>48</v>
      </c>
      <c r="G11" s="11">
        <v>7</v>
      </c>
      <c r="H11" s="12">
        <v>14470.63</v>
      </c>
      <c r="I11" s="12">
        <v>101294.41</v>
      </c>
    </row>
    <row r="12" ht="15" customHeight="1" spans="1:9">
      <c r="A12" s="11" t="s">
        <v>49</v>
      </c>
      <c r="B12" s="11" t="s">
        <v>50</v>
      </c>
      <c r="C12" s="11" t="s">
        <v>51</v>
      </c>
      <c r="D12" s="11" t="s">
        <v>18</v>
      </c>
      <c r="E12" s="11" t="s">
        <v>19</v>
      </c>
      <c r="F12" s="11" t="s">
        <v>24</v>
      </c>
      <c r="G12" s="11">
        <v>5</v>
      </c>
      <c r="H12" s="12">
        <v>7474.52</v>
      </c>
      <c r="I12" s="12">
        <v>37372.6</v>
      </c>
    </row>
    <row r="13" ht="15" customHeight="1" spans="1:9">
      <c r="A13" s="11" t="s">
        <v>52</v>
      </c>
      <c r="B13" s="11" t="s">
        <v>53</v>
      </c>
      <c r="C13" s="11" t="s">
        <v>54</v>
      </c>
      <c r="D13" s="11" t="s">
        <v>12</v>
      </c>
      <c r="E13" s="11" t="s">
        <v>19</v>
      </c>
      <c r="F13" s="11" t="s">
        <v>55</v>
      </c>
      <c r="G13" s="11">
        <v>1</v>
      </c>
      <c r="H13" s="12">
        <v>7612.01</v>
      </c>
      <c r="I13" s="12">
        <v>7612.01</v>
      </c>
    </row>
    <row r="14" ht="15" customHeight="1" spans="1:9">
      <c r="A14" s="11" t="s">
        <v>56</v>
      </c>
      <c r="B14" s="11" t="s">
        <v>57</v>
      </c>
      <c r="C14" s="11" t="s">
        <v>58</v>
      </c>
      <c r="D14" s="11" t="s">
        <v>23</v>
      </c>
      <c r="E14" s="11" t="s">
        <v>19</v>
      </c>
      <c r="F14" s="11" t="s">
        <v>59</v>
      </c>
      <c r="G14" s="11">
        <v>5</v>
      </c>
      <c r="H14" s="12">
        <v>5435.08</v>
      </c>
      <c r="I14" s="12">
        <v>27175.4</v>
      </c>
    </row>
    <row r="15" ht="15" customHeight="1" spans="1:9">
      <c r="A15" s="11" t="s">
        <v>60</v>
      </c>
      <c r="B15" s="11" t="s">
        <v>61</v>
      </c>
      <c r="C15" s="11" t="s">
        <v>11</v>
      </c>
      <c r="D15" s="11" t="s">
        <v>35</v>
      </c>
      <c r="E15" s="11" t="s">
        <v>13</v>
      </c>
      <c r="F15" s="11" t="s">
        <v>62</v>
      </c>
      <c r="G15" s="11">
        <v>4</v>
      </c>
      <c r="H15" s="12">
        <v>2773.4</v>
      </c>
      <c r="I15" s="12">
        <v>11093.6</v>
      </c>
    </row>
    <row r="16" ht="15" customHeight="1" spans="1:9">
      <c r="A16" s="11" t="s">
        <v>63</v>
      </c>
      <c r="B16" s="11" t="s">
        <v>64</v>
      </c>
      <c r="C16" s="11" t="s">
        <v>65</v>
      </c>
      <c r="D16" s="11" t="s">
        <v>12</v>
      </c>
      <c r="E16" s="11" t="s">
        <v>27</v>
      </c>
      <c r="F16" s="11" t="s">
        <v>28</v>
      </c>
      <c r="G16" s="11">
        <v>8</v>
      </c>
      <c r="H16" s="12">
        <v>63.64</v>
      </c>
      <c r="I16" s="12">
        <v>509.12</v>
      </c>
    </row>
    <row r="17" ht="15" customHeight="1" spans="1:9">
      <c r="A17" s="11" t="s">
        <v>66</v>
      </c>
      <c r="B17" s="11" t="s">
        <v>67</v>
      </c>
      <c r="C17" s="11" t="s">
        <v>68</v>
      </c>
      <c r="D17" s="11" t="s">
        <v>18</v>
      </c>
      <c r="E17" s="11" t="s">
        <v>19</v>
      </c>
      <c r="F17" s="11" t="s">
        <v>69</v>
      </c>
      <c r="G17" s="11">
        <v>8</v>
      </c>
      <c r="H17" s="12">
        <v>1491.94</v>
      </c>
      <c r="I17" s="12">
        <v>11935.52</v>
      </c>
    </row>
    <row r="18" ht="15" customHeight="1" spans="1:9">
      <c r="A18" s="11" t="s">
        <v>70</v>
      </c>
      <c r="B18" s="11" t="s">
        <v>67</v>
      </c>
      <c r="C18" s="11" t="s">
        <v>71</v>
      </c>
      <c r="D18" s="11" t="s">
        <v>12</v>
      </c>
      <c r="E18" s="11" t="s">
        <v>13</v>
      </c>
      <c r="F18" s="11" t="s">
        <v>39</v>
      </c>
      <c r="G18" s="11">
        <v>3</v>
      </c>
      <c r="H18" s="12">
        <v>4406.74</v>
      </c>
      <c r="I18" s="12">
        <v>13220.22</v>
      </c>
    </row>
    <row r="19" ht="15" customHeight="1" spans="1:9">
      <c r="A19" s="11" t="s">
        <v>72</v>
      </c>
      <c r="B19" s="11" t="s">
        <v>67</v>
      </c>
      <c r="C19" s="11" t="s">
        <v>51</v>
      </c>
      <c r="D19" s="11" t="s">
        <v>12</v>
      </c>
      <c r="E19" s="11" t="s">
        <v>13</v>
      </c>
      <c r="F19" s="11" t="s">
        <v>62</v>
      </c>
      <c r="G19" s="11">
        <v>1</v>
      </c>
      <c r="H19" s="12">
        <v>10590.42</v>
      </c>
      <c r="I19" s="12">
        <v>10590.42</v>
      </c>
    </row>
    <row r="20" ht="15" customHeight="1" spans="1:9">
      <c r="A20" s="11" t="s">
        <v>73</v>
      </c>
      <c r="B20" s="11" t="s">
        <v>74</v>
      </c>
      <c r="C20" s="11" t="s">
        <v>75</v>
      </c>
      <c r="D20" s="11" t="s">
        <v>18</v>
      </c>
      <c r="E20" s="11" t="s">
        <v>19</v>
      </c>
      <c r="F20" s="11" t="s">
        <v>69</v>
      </c>
      <c r="G20" s="11">
        <v>3</v>
      </c>
      <c r="H20" s="12">
        <v>4412.88</v>
      </c>
      <c r="I20" s="12">
        <v>13238.64</v>
      </c>
    </row>
    <row r="21" ht="15" customHeight="1" spans="1:9">
      <c r="A21" s="11" t="s">
        <v>76</v>
      </c>
      <c r="B21" s="11" t="s">
        <v>77</v>
      </c>
      <c r="C21" s="11" t="s">
        <v>75</v>
      </c>
      <c r="D21" s="11" t="s">
        <v>23</v>
      </c>
      <c r="E21" s="11" t="s">
        <v>27</v>
      </c>
      <c r="F21" s="11" t="s">
        <v>78</v>
      </c>
      <c r="G21" s="11">
        <v>2</v>
      </c>
      <c r="H21" s="12">
        <v>344.1</v>
      </c>
      <c r="I21" s="12">
        <v>688.2</v>
      </c>
    </row>
    <row r="22" ht="15" customHeight="1" spans="1:9">
      <c r="A22" s="11" t="s">
        <v>79</v>
      </c>
      <c r="B22" s="11" t="s">
        <v>80</v>
      </c>
      <c r="C22" s="11" t="s">
        <v>81</v>
      </c>
      <c r="D22" s="11" t="s">
        <v>35</v>
      </c>
      <c r="E22" s="11" t="s">
        <v>13</v>
      </c>
      <c r="F22" s="11" t="s">
        <v>39</v>
      </c>
      <c r="G22" s="11">
        <v>3</v>
      </c>
      <c r="H22" s="12">
        <v>7415.49</v>
      </c>
      <c r="I22" s="12">
        <v>22246.47</v>
      </c>
    </row>
    <row r="23" ht="15" customHeight="1" spans="1:9">
      <c r="A23" s="11" t="s">
        <v>82</v>
      </c>
      <c r="B23" s="11" t="s">
        <v>83</v>
      </c>
      <c r="C23" s="11" t="s">
        <v>68</v>
      </c>
      <c r="D23" s="11" t="s">
        <v>18</v>
      </c>
      <c r="E23" s="11" t="s">
        <v>19</v>
      </c>
      <c r="F23" s="11" t="s">
        <v>20</v>
      </c>
      <c r="G23" s="11">
        <v>5</v>
      </c>
      <c r="H23" s="12">
        <v>3687.02</v>
      </c>
      <c r="I23" s="12">
        <v>18435.1</v>
      </c>
    </row>
    <row r="24" ht="15" customHeight="1" spans="1:9">
      <c r="A24" s="11" t="s">
        <v>84</v>
      </c>
      <c r="B24" s="11" t="s">
        <v>85</v>
      </c>
      <c r="C24" s="11" t="s">
        <v>86</v>
      </c>
      <c r="D24" s="11" t="s">
        <v>12</v>
      </c>
      <c r="E24" s="11" t="s">
        <v>19</v>
      </c>
      <c r="F24" s="11" t="s">
        <v>20</v>
      </c>
      <c r="G24" s="11">
        <v>5</v>
      </c>
      <c r="H24" s="12">
        <v>1319.92</v>
      </c>
      <c r="I24" s="12">
        <v>6599.6</v>
      </c>
    </row>
    <row r="25" ht="15" customHeight="1" spans="1:9">
      <c r="A25" s="11" t="s">
        <v>87</v>
      </c>
      <c r="B25" s="11" t="s">
        <v>88</v>
      </c>
      <c r="C25" s="11" t="s">
        <v>89</v>
      </c>
      <c r="D25" s="11" t="s">
        <v>23</v>
      </c>
      <c r="E25" s="11" t="s">
        <v>19</v>
      </c>
      <c r="F25" s="11" t="s">
        <v>90</v>
      </c>
      <c r="G25" s="11">
        <v>3</v>
      </c>
      <c r="H25" s="12">
        <v>2340.94</v>
      </c>
      <c r="I25" s="12">
        <v>7022.82</v>
      </c>
    </row>
    <row r="26" ht="15" customHeight="1" spans="1:9">
      <c r="A26" s="11" t="s">
        <v>91</v>
      </c>
      <c r="B26" s="11" t="s">
        <v>92</v>
      </c>
      <c r="C26" s="11" t="s">
        <v>93</v>
      </c>
      <c r="D26" s="11" t="s">
        <v>35</v>
      </c>
      <c r="E26" s="11" t="s">
        <v>27</v>
      </c>
      <c r="F26" s="11" t="s">
        <v>94</v>
      </c>
      <c r="G26" s="11">
        <v>5</v>
      </c>
      <c r="H26" s="12">
        <v>195.03</v>
      </c>
      <c r="I26" s="12">
        <v>975.15</v>
      </c>
    </row>
    <row r="27" ht="15" customHeight="1" spans="1:9">
      <c r="A27" s="11" t="s">
        <v>95</v>
      </c>
      <c r="B27" s="11" t="s">
        <v>96</v>
      </c>
      <c r="C27" s="11" t="s">
        <v>97</v>
      </c>
      <c r="D27" s="11" t="s">
        <v>12</v>
      </c>
      <c r="E27" s="11" t="s">
        <v>19</v>
      </c>
      <c r="F27" s="11" t="s">
        <v>24</v>
      </c>
      <c r="G27" s="11">
        <v>4</v>
      </c>
      <c r="H27" s="12">
        <v>4830.99</v>
      </c>
      <c r="I27" s="12">
        <v>19323.96</v>
      </c>
    </row>
    <row r="28" ht="15" customHeight="1" spans="1:9">
      <c r="A28" s="11" t="s">
        <v>98</v>
      </c>
      <c r="B28" s="11" t="s">
        <v>99</v>
      </c>
      <c r="C28" s="11" t="s">
        <v>86</v>
      </c>
      <c r="D28" s="11" t="s">
        <v>18</v>
      </c>
      <c r="E28" s="11" t="s">
        <v>13</v>
      </c>
      <c r="F28" s="11" t="s">
        <v>48</v>
      </c>
      <c r="G28" s="11">
        <v>1</v>
      </c>
      <c r="H28" s="12">
        <v>14998.76</v>
      </c>
      <c r="I28" s="12">
        <v>14998.76</v>
      </c>
    </row>
    <row r="29" ht="15" customHeight="1" spans="1:9">
      <c r="A29" s="11" t="s">
        <v>100</v>
      </c>
      <c r="B29" s="11" t="s">
        <v>101</v>
      </c>
      <c r="C29" s="11" t="s">
        <v>71</v>
      </c>
      <c r="D29" s="11" t="s">
        <v>35</v>
      </c>
      <c r="E29" s="11" t="s">
        <v>13</v>
      </c>
      <c r="F29" s="11" t="s">
        <v>62</v>
      </c>
      <c r="G29" s="11">
        <v>2</v>
      </c>
      <c r="H29" s="12">
        <v>14309.81</v>
      </c>
      <c r="I29" s="12">
        <v>28619.62</v>
      </c>
    </row>
    <row r="30" ht="15" customHeight="1" spans="1:9">
      <c r="A30" s="11" t="s">
        <v>102</v>
      </c>
      <c r="B30" s="11" t="s">
        <v>103</v>
      </c>
      <c r="C30" s="11" t="s">
        <v>81</v>
      </c>
      <c r="D30" s="11" t="s">
        <v>23</v>
      </c>
      <c r="E30" s="11" t="s">
        <v>27</v>
      </c>
      <c r="F30" s="11" t="s">
        <v>104</v>
      </c>
      <c r="G30" s="11">
        <v>5</v>
      </c>
      <c r="H30" s="12">
        <v>315.64</v>
      </c>
      <c r="I30" s="12">
        <v>1578.2</v>
      </c>
    </row>
    <row r="31" ht="15" customHeight="1" spans="1:9">
      <c r="A31" s="11" t="s">
        <v>105</v>
      </c>
      <c r="B31" s="11" t="s">
        <v>106</v>
      </c>
      <c r="C31" s="11" t="s">
        <v>107</v>
      </c>
      <c r="D31" s="11" t="s">
        <v>23</v>
      </c>
      <c r="E31" s="11" t="s">
        <v>27</v>
      </c>
      <c r="F31" s="11" t="s">
        <v>28</v>
      </c>
      <c r="G31" s="11">
        <v>8</v>
      </c>
      <c r="H31" s="12">
        <v>313.41</v>
      </c>
      <c r="I31" s="12">
        <v>2507.28</v>
      </c>
    </row>
    <row r="32" ht="15" customHeight="1" spans="1:9">
      <c r="A32" s="11" t="s">
        <v>108</v>
      </c>
      <c r="B32" s="11" t="s">
        <v>106</v>
      </c>
      <c r="C32" s="11" t="s">
        <v>34</v>
      </c>
      <c r="D32" s="11" t="s">
        <v>18</v>
      </c>
      <c r="E32" s="11" t="s">
        <v>27</v>
      </c>
      <c r="F32" s="11" t="s">
        <v>104</v>
      </c>
      <c r="G32" s="11">
        <v>6</v>
      </c>
      <c r="H32" s="12">
        <v>395.55</v>
      </c>
      <c r="I32" s="12">
        <v>2373.3</v>
      </c>
    </row>
    <row r="33" ht="15" customHeight="1" spans="1:9">
      <c r="A33" s="11" t="s">
        <v>109</v>
      </c>
      <c r="B33" s="11" t="s">
        <v>106</v>
      </c>
      <c r="C33" s="11" t="s">
        <v>107</v>
      </c>
      <c r="D33" s="11" t="s">
        <v>35</v>
      </c>
      <c r="E33" s="11" t="s">
        <v>19</v>
      </c>
      <c r="F33" s="11" t="s">
        <v>20</v>
      </c>
      <c r="G33" s="11">
        <v>7</v>
      </c>
      <c r="H33" s="12">
        <v>2827.62</v>
      </c>
      <c r="I33" s="12">
        <v>19793.34</v>
      </c>
    </row>
    <row r="34" ht="15" customHeight="1" spans="1:9">
      <c r="A34" s="11" t="s">
        <v>110</v>
      </c>
      <c r="B34" s="11" t="s">
        <v>111</v>
      </c>
      <c r="C34" s="11" t="s">
        <v>81</v>
      </c>
      <c r="D34" s="11" t="s">
        <v>18</v>
      </c>
      <c r="E34" s="11" t="s">
        <v>19</v>
      </c>
      <c r="F34" s="11" t="s">
        <v>90</v>
      </c>
      <c r="G34" s="11">
        <v>2</v>
      </c>
      <c r="H34" s="12">
        <v>7830.48</v>
      </c>
      <c r="I34" s="12">
        <v>15660.96</v>
      </c>
    </row>
    <row r="35" ht="15" customHeight="1" spans="1:9">
      <c r="A35" s="11" t="s">
        <v>112</v>
      </c>
      <c r="B35" s="11" t="s">
        <v>113</v>
      </c>
      <c r="C35" s="11" t="s">
        <v>107</v>
      </c>
      <c r="D35" s="11" t="s">
        <v>23</v>
      </c>
      <c r="E35" s="11" t="s">
        <v>13</v>
      </c>
      <c r="F35" s="11" t="s">
        <v>114</v>
      </c>
      <c r="G35" s="11">
        <v>5</v>
      </c>
      <c r="H35" s="12">
        <v>7745.48</v>
      </c>
      <c r="I35" s="12">
        <v>38727.4</v>
      </c>
    </row>
    <row r="36" ht="15" customHeight="1" spans="1:9">
      <c r="A36" s="11" t="s">
        <v>115</v>
      </c>
      <c r="B36" s="11" t="s">
        <v>116</v>
      </c>
      <c r="C36" s="11" t="s">
        <v>107</v>
      </c>
      <c r="D36" s="11" t="s">
        <v>35</v>
      </c>
      <c r="E36" s="11" t="s">
        <v>19</v>
      </c>
      <c r="F36" s="11" t="s">
        <v>90</v>
      </c>
      <c r="G36" s="11">
        <v>2</v>
      </c>
      <c r="H36" s="12">
        <v>2208.87</v>
      </c>
      <c r="I36" s="12">
        <v>4417.74</v>
      </c>
    </row>
    <row r="37" ht="15" customHeight="1" spans="1:9">
      <c r="A37" s="11" t="s">
        <v>117</v>
      </c>
      <c r="B37" s="11" t="s">
        <v>118</v>
      </c>
      <c r="C37" s="11" t="s">
        <v>11</v>
      </c>
      <c r="D37" s="11" t="s">
        <v>18</v>
      </c>
      <c r="E37" s="11" t="s">
        <v>13</v>
      </c>
      <c r="F37" s="11" t="s">
        <v>14</v>
      </c>
      <c r="G37" s="11">
        <v>1</v>
      </c>
      <c r="H37" s="12">
        <v>2633.29</v>
      </c>
      <c r="I37" s="12">
        <v>2633.29</v>
      </c>
    </row>
    <row r="38" ht="15" customHeight="1" spans="1:9">
      <c r="A38" s="11" t="s">
        <v>119</v>
      </c>
      <c r="B38" s="11" t="s">
        <v>120</v>
      </c>
      <c r="C38" s="11" t="s">
        <v>42</v>
      </c>
      <c r="D38" s="11" t="s">
        <v>18</v>
      </c>
      <c r="E38" s="11" t="s">
        <v>19</v>
      </c>
      <c r="F38" s="11" t="s">
        <v>90</v>
      </c>
      <c r="G38" s="11">
        <v>1</v>
      </c>
      <c r="H38" s="12">
        <v>529.44</v>
      </c>
      <c r="I38" s="12">
        <v>529.44</v>
      </c>
    </row>
    <row r="39" ht="15" customHeight="1" spans="1:9">
      <c r="A39" s="11" t="s">
        <v>121</v>
      </c>
      <c r="B39" s="11" t="s">
        <v>122</v>
      </c>
      <c r="C39" s="11" t="s">
        <v>123</v>
      </c>
      <c r="D39" s="11" t="s">
        <v>18</v>
      </c>
      <c r="E39" s="11" t="s">
        <v>27</v>
      </c>
      <c r="F39" s="11" t="s">
        <v>104</v>
      </c>
      <c r="G39" s="11">
        <v>6</v>
      </c>
      <c r="H39" s="12">
        <v>134.57</v>
      </c>
      <c r="I39" s="12">
        <v>807.42</v>
      </c>
    </row>
    <row r="40" ht="15" customHeight="1" spans="1:9">
      <c r="A40" s="11" t="s">
        <v>124</v>
      </c>
      <c r="B40" s="11" t="s">
        <v>125</v>
      </c>
      <c r="C40" s="11" t="s">
        <v>31</v>
      </c>
      <c r="D40" s="11" t="s">
        <v>23</v>
      </c>
      <c r="E40" s="11" t="s">
        <v>13</v>
      </c>
      <c r="F40" s="11" t="s">
        <v>62</v>
      </c>
      <c r="G40" s="11">
        <v>8</v>
      </c>
      <c r="H40" s="12">
        <v>10620.97</v>
      </c>
      <c r="I40" s="12">
        <v>84967.76</v>
      </c>
    </row>
    <row r="41" ht="15" customHeight="1" spans="1:9">
      <c r="A41" s="11" t="s">
        <v>126</v>
      </c>
      <c r="B41" s="11" t="s">
        <v>127</v>
      </c>
      <c r="C41" s="11" t="s">
        <v>17</v>
      </c>
      <c r="D41" s="11" t="s">
        <v>23</v>
      </c>
      <c r="E41" s="11" t="s">
        <v>13</v>
      </c>
      <c r="F41" s="11" t="s">
        <v>48</v>
      </c>
      <c r="G41" s="11">
        <v>6</v>
      </c>
      <c r="H41" s="12">
        <v>5531.27</v>
      </c>
      <c r="I41" s="12">
        <v>33187.62</v>
      </c>
    </row>
    <row r="42" ht="15" customHeight="1" spans="1:9">
      <c r="A42" s="11" t="s">
        <v>128</v>
      </c>
      <c r="B42" s="11" t="s">
        <v>127</v>
      </c>
      <c r="C42" s="11" t="s">
        <v>47</v>
      </c>
      <c r="D42" s="11" t="s">
        <v>35</v>
      </c>
      <c r="E42" s="11" t="s">
        <v>27</v>
      </c>
      <c r="F42" s="11" t="s">
        <v>129</v>
      </c>
      <c r="G42" s="11">
        <v>5</v>
      </c>
      <c r="H42" s="12">
        <v>464.73</v>
      </c>
      <c r="I42" s="12">
        <v>2323.65</v>
      </c>
    </row>
    <row r="43" ht="15" customHeight="1" spans="1:9">
      <c r="A43" s="11" t="s">
        <v>130</v>
      </c>
      <c r="B43" s="11" t="s">
        <v>131</v>
      </c>
      <c r="C43" s="11" t="s">
        <v>132</v>
      </c>
      <c r="D43" s="11" t="s">
        <v>18</v>
      </c>
      <c r="E43" s="11" t="s">
        <v>27</v>
      </c>
      <c r="F43" s="11" t="s">
        <v>78</v>
      </c>
      <c r="G43" s="11">
        <v>2</v>
      </c>
      <c r="H43" s="12">
        <v>437.85</v>
      </c>
      <c r="I43" s="12">
        <v>875.7</v>
      </c>
    </row>
    <row r="44" ht="15" customHeight="1" spans="1:9">
      <c r="A44" s="11" t="s">
        <v>133</v>
      </c>
      <c r="B44" s="11" t="s">
        <v>134</v>
      </c>
      <c r="C44" s="11" t="s">
        <v>135</v>
      </c>
      <c r="D44" s="11" t="s">
        <v>12</v>
      </c>
      <c r="E44" s="11" t="s">
        <v>27</v>
      </c>
      <c r="F44" s="11" t="s">
        <v>136</v>
      </c>
      <c r="G44" s="11">
        <v>3</v>
      </c>
      <c r="H44" s="12">
        <v>298.68</v>
      </c>
      <c r="I44" s="12">
        <v>896.04</v>
      </c>
    </row>
    <row r="45" ht="15" customHeight="1" spans="1:9">
      <c r="A45" s="11" t="s">
        <v>137</v>
      </c>
      <c r="B45" s="11" t="s">
        <v>134</v>
      </c>
      <c r="C45" s="11" t="s">
        <v>86</v>
      </c>
      <c r="D45" s="11" t="s">
        <v>35</v>
      </c>
      <c r="E45" s="11" t="s">
        <v>13</v>
      </c>
      <c r="F45" s="11" t="s">
        <v>39</v>
      </c>
      <c r="G45" s="11">
        <v>3</v>
      </c>
      <c r="H45" s="12">
        <v>8081.92</v>
      </c>
      <c r="I45" s="12">
        <v>24245.76</v>
      </c>
    </row>
    <row r="46" ht="15" customHeight="1" spans="1:9">
      <c r="A46" s="11" t="s">
        <v>138</v>
      </c>
      <c r="B46" s="11" t="s">
        <v>139</v>
      </c>
      <c r="C46" s="11" t="s">
        <v>11</v>
      </c>
      <c r="D46" s="11" t="s">
        <v>12</v>
      </c>
      <c r="E46" s="11" t="s">
        <v>27</v>
      </c>
      <c r="F46" s="11" t="s">
        <v>104</v>
      </c>
      <c r="G46" s="11">
        <v>8</v>
      </c>
      <c r="H46" s="12">
        <v>284.81</v>
      </c>
      <c r="I46" s="12">
        <v>2278.48</v>
      </c>
    </row>
    <row r="47" ht="15" customHeight="1" spans="1:9">
      <c r="A47" s="11" t="s">
        <v>140</v>
      </c>
      <c r="B47" s="11" t="s">
        <v>141</v>
      </c>
      <c r="C47" s="11" t="s">
        <v>142</v>
      </c>
      <c r="D47" s="11" t="s">
        <v>23</v>
      </c>
      <c r="E47" s="11" t="s">
        <v>19</v>
      </c>
      <c r="F47" s="11" t="s">
        <v>69</v>
      </c>
      <c r="G47" s="11">
        <v>7</v>
      </c>
      <c r="H47" s="12">
        <v>6695.38</v>
      </c>
      <c r="I47" s="12">
        <v>46867.66</v>
      </c>
    </row>
    <row r="48" ht="15" customHeight="1" spans="1:9">
      <c r="A48" s="11" t="s">
        <v>143</v>
      </c>
      <c r="B48" s="11" t="s">
        <v>144</v>
      </c>
      <c r="C48" s="11" t="s">
        <v>11</v>
      </c>
      <c r="D48" s="11" t="s">
        <v>23</v>
      </c>
      <c r="E48" s="11" t="s">
        <v>27</v>
      </c>
      <c r="F48" s="11" t="s">
        <v>28</v>
      </c>
      <c r="G48" s="11">
        <v>5</v>
      </c>
      <c r="H48" s="12">
        <v>378.57</v>
      </c>
      <c r="I48" s="12">
        <v>1892.85</v>
      </c>
    </row>
    <row r="49" ht="15" customHeight="1" spans="1:9">
      <c r="A49" s="11" t="s">
        <v>145</v>
      </c>
      <c r="B49" s="11" t="s">
        <v>144</v>
      </c>
      <c r="C49" s="11" t="s">
        <v>89</v>
      </c>
      <c r="D49" s="11" t="s">
        <v>18</v>
      </c>
      <c r="E49" s="11" t="s">
        <v>27</v>
      </c>
      <c r="F49" s="11" t="s">
        <v>94</v>
      </c>
      <c r="G49" s="11">
        <v>3</v>
      </c>
      <c r="H49" s="12">
        <v>150.73</v>
      </c>
      <c r="I49" s="12">
        <v>452.19</v>
      </c>
    </row>
    <row r="50" ht="15" customHeight="1" spans="1:9">
      <c r="A50" s="11" t="s">
        <v>146</v>
      </c>
      <c r="B50" s="11" t="s">
        <v>147</v>
      </c>
      <c r="C50" s="11" t="s">
        <v>81</v>
      </c>
      <c r="D50" s="11" t="s">
        <v>23</v>
      </c>
      <c r="E50" s="11" t="s">
        <v>19</v>
      </c>
      <c r="F50" s="11" t="s">
        <v>55</v>
      </c>
      <c r="G50" s="11">
        <v>4</v>
      </c>
      <c r="H50" s="12">
        <v>5813.35</v>
      </c>
      <c r="I50" s="12">
        <v>23253.4</v>
      </c>
    </row>
    <row r="51" ht="15" customHeight="1" spans="1:9">
      <c r="A51" s="11" t="s">
        <v>148</v>
      </c>
      <c r="B51" s="11" t="s">
        <v>149</v>
      </c>
      <c r="C51" s="11" t="s">
        <v>44</v>
      </c>
      <c r="D51" s="11" t="s">
        <v>35</v>
      </c>
      <c r="E51" s="11" t="s">
        <v>13</v>
      </c>
      <c r="F51" s="11" t="s">
        <v>62</v>
      </c>
      <c r="G51" s="11">
        <v>5</v>
      </c>
      <c r="H51" s="12">
        <v>2393.55</v>
      </c>
      <c r="I51" s="12">
        <v>11967.75</v>
      </c>
    </row>
    <row r="52" ht="15" customHeight="1" spans="1:9">
      <c r="A52" s="11" t="s">
        <v>150</v>
      </c>
      <c r="B52" s="11" t="s">
        <v>151</v>
      </c>
      <c r="C52" s="11" t="s">
        <v>89</v>
      </c>
      <c r="D52" s="11" t="s">
        <v>35</v>
      </c>
      <c r="E52" s="11" t="s">
        <v>13</v>
      </c>
      <c r="F52" s="11" t="s">
        <v>48</v>
      </c>
      <c r="G52" s="11">
        <v>6</v>
      </c>
      <c r="H52" s="12">
        <v>12941.17</v>
      </c>
      <c r="I52" s="12">
        <v>77647.02</v>
      </c>
    </row>
    <row r="53" ht="15" customHeight="1" spans="1:9">
      <c r="A53" s="11" t="s">
        <v>152</v>
      </c>
      <c r="B53" s="11" t="s">
        <v>151</v>
      </c>
      <c r="C53" s="11" t="s">
        <v>54</v>
      </c>
      <c r="D53" s="11" t="s">
        <v>18</v>
      </c>
      <c r="E53" s="11" t="s">
        <v>27</v>
      </c>
      <c r="F53" s="11" t="s">
        <v>104</v>
      </c>
      <c r="G53" s="11">
        <v>5</v>
      </c>
      <c r="H53" s="12">
        <v>127.83</v>
      </c>
      <c r="I53" s="12">
        <v>639.15</v>
      </c>
    </row>
    <row r="54" ht="15" customHeight="1" spans="1:9">
      <c r="A54" s="11" t="s">
        <v>153</v>
      </c>
      <c r="B54" s="11" t="s">
        <v>151</v>
      </c>
      <c r="C54" s="11" t="s">
        <v>71</v>
      </c>
      <c r="D54" s="11" t="s">
        <v>18</v>
      </c>
      <c r="E54" s="11" t="s">
        <v>19</v>
      </c>
      <c r="F54" s="11" t="s">
        <v>90</v>
      </c>
      <c r="G54" s="11">
        <v>5</v>
      </c>
      <c r="H54" s="12">
        <v>639.47</v>
      </c>
      <c r="I54" s="12">
        <v>3197.35</v>
      </c>
    </row>
    <row r="55" ht="15" customHeight="1" spans="1:9">
      <c r="A55" s="11" t="s">
        <v>154</v>
      </c>
      <c r="B55" s="11" t="s">
        <v>155</v>
      </c>
      <c r="C55" s="11" t="s">
        <v>93</v>
      </c>
      <c r="D55" s="11" t="s">
        <v>23</v>
      </c>
      <c r="E55" s="11" t="s">
        <v>27</v>
      </c>
      <c r="F55" s="11" t="s">
        <v>156</v>
      </c>
      <c r="G55" s="11">
        <v>2</v>
      </c>
      <c r="H55" s="12">
        <v>203.62</v>
      </c>
      <c r="I55" s="12">
        <v>407.24</v>
      </c>
    </row>
    <row r="56" ht="15" customHeight="1" spans="1:9">
      <c r="A56" s="11" t="s">
        <v>157</v>
      </c>
      <c r="B56" s="11" t="s">
        <v>158</v>
      </c>
      <c r="C56" s="11" t="s">
        <v>34</v>
      </c>
      <c r="D56" s="11" t="s">
        <v>35</v>
      </c>
      <c r="E56" s="11" t="s">
        <v>13</v>
      </c>
      <c r="F56" s="11" t="s">
        <v>62</v>
      </c>
      <c r="G56" s="11">
        <v>5</v>
      </c>
      <c r="H56" s="12">
        <v>11652.13</v>
      </c>
      <c r="I56" s="12">
        <v>58260.65</v>
      </c>
    </row>
    <row r="57" ht="15" customHeight="1" spans="1:9">
      <c r="A57" s="11" t="s">
        <v>159</v>
      </c>
      <c r="B57" s="11" t="s">
        <v>160</v>
      </c>
      <c r="C57" s="11" t="s">
        <v>142</v>
      </c>
      <c r="D57" s="11" t="s">
        <v>23</v>
      </c>
      <c r="E57" s="11" t="s">
        <v>19</v>
      </c>
      <c r="F57" s="11" t="s">
        <v>20</v>
      </c>
      <c r="G57" s="11">
        <v>2</v>
      </c>
      <c r="H57" s="12">
        <v>3023.33</v>
      </c>
      <c r="I57" s="12">
        <v>6046.66</v>
      </c>
    </row>
    <row r="58" ht="15" customHeight="1" spans="1:9">
      <c r="A58" s="11" t="s">
        <v>161</v>
      </c>
      <c r="B58" s="11" t="s">
        <v>162</v>
      </c>
      <c r="C58" s="11" t="s">
        <v>47</v>
      </c>
      <c r="D58" s="11" t="s">
        <v>18</v>
      </c>
      <c r="E58" s="11" t="s">
        <v>19</v>
      </c>
      <c r="F58" s="11" t="s">
        <v>90</v>
      </c>
      <c r="G58" s="11">
        <v>7</v>
      </c>
      <c r="H58" s="12">
        <v>7112.06</v>
      </c>
      <c r="I58" s="12">
        <v>49784.42</v>
      </c>
    </row>
    <row r="59" ht="15" customHeight="1" spans="1:9">
      <c r="A59" s="11" t="s">
        <v>163</v>
      </c>
      <c r="B59" s="11" t="s">
        <v>162</v>
      </c>
      <c r="C59" s="11" t="s">
        <v>123</v>
      </c>
      <c r="D59" s="11" t="s">
        <v>35</v>
      </c>
      <c r="E59" s="11" t="s">
        <v>19</v>
      </c>
      <c r="F59" s="11" t="s">
        <v>69</v>
      </c>
      <c r="G59" s="11">
        <v>4</v>
      </c>
      <c r="H59" s="12">
        <v>5789.71</v>
      </c>
      <c r="I59" s="12">
        <v>23158.84</v>
      </c>
    </row>
    <row r="60" ht="15" customHeight="1" spans="1:9">
      <c r="A60" s="11" t="s">
        <v>164</v>
      </c>
      <c r="B60" s="11" t="s">
        <v>165</v>
      </c>
      <c r="C60" s="11" t="s">
        <v>75</v>
      </c>
      <c r="D60" s="11" t="s">
        <v>18</v>
      </c>
      <c r="E60" s="11" t="s">
        <v>27</v>
      </c>
      <c r="F60" s="11" t="s">
        <v>104</v>
      </c>
      <c r="G60" s="11">
        <v>1</v>
      </c>
      <c r="H60" s="12">
        <v>485.12</v>
      </c>
      <c r="I60" s="12">
        <v>485.12</v>
      </c>
    </row>
    <row r="61" ht="15" customHeight="1" spans="1:9">
      <c r="A61" s="11" t="s">
        <v>166</v>
      </c>
      <c r="B61" s="11" t="s">
        <v>167</v>
      </c>
      <c r="C61" s="11" t="s">
        <v>44</v>
      </c>
      <c r="D61" s="11" t="s">
        <v>18</v>
      </c>
      <c r="E61" s="11" t="s">
        <v>27</v>
      </c>
      <c r="F61" s="11" t="s">
        <v>28</v>
      </c>
      <c r="G61" s="11">
        <v>8</v>
      </c>
      <c r="H61" s="12">
        <v>341.34</v>
      </c>
      <c r="I61" s="12">
        <v>2730.72</v>
      </c>
    </row>
    <row r="62" ht="15" customHeight="1" spans="1:9">
      <c r="A62" s="11" t="s">
        <v>168</v>
      </c>
      <c r="B62" s="11" t="s">
        <v>167</v>
      </c>
      <c r="C62" s="11" t="s">
        <v>169</v>
      </c>
      <c r="D62" s="11" t="s">
        <v>12</v>
      </c>
      <c r="E62" s="11" t="s">
        <v>13</v>
      </c>
      <c r="F62" s="11" t="s">
        <v>114</v>
      </c>
      <c r="G62" s="11">
        <v>1</v>
      </c>
      <c r="H62" s="12">
        <v>9585.75</v>
      </c>
      <c r="I62" s="12">
        <v>9585.75</v>
      </c>
    </row>
    <row r="63" ht="15" customHeight="1" spans="1:9">
      <c r="A63" s="11" t="s">
        <v>170</v>
      </c>
      <c r="B63" s="11" t="s">
        <v>167</v>
      </c>
      <c r="C63" s="11" t="s">
        <v>17</v>
      </c>
      <c r="D63" s="11" t="s">
        <v>23</v>
      </c>
      <c r="E63" s="11" t="s">
        <v>19</v>
      </c>
      <c r="F63" s="11" t="s">
        <v>20</v>
      </c>
      <c r="G63" s="11">
        <v>7</v>
      </c>
      <c r="H63" s="12">
        <v>4892.35</v>
      </c>
      <c r="I63" s="12">
        <v>34246.45</v>
      </c>
    </row>
    <row r="64" ht="15" customHeight="1" spans="1:9">
      <c r="A64" s="11" t="s">
        <v>171</v>
      </c>
      <c r="B64" s="11" t="s">
        <v>167</v>
      </c>
      <c r="C64" s="11" t="s">
        <v>71</v>
      </c>
      <c r="D64" s="11" t="s">
        <v>23</v>
      </c>
      <c r="E64" s="11" t="s">
        <v>19</v>
      </c>
      <c r="F64" s="11" t="s">
        <v>20</v>
      </c>
      <c r="G64" s="11">
        <v>2</v>
      </c>
      <c r="H64" s="12">
        <v>3494.48</v>
      </c>
      <c r="I64" s="12">
        <v>6988.96</v>
      </c>
    </row>
    <row r="65" ht="15" customHeight="1" spans="1:9">
      <c r="A65" s="11" t="s">
        <v>172</v>
      </c>
      <c r="B65" s="11" t="s">
        <v>173</v>
      </c>
      <c r="C65" s="11" t="s">
        <v>174</v>
      </c>
      <c r="D65" s="11" t="s">
        <v>23</v>
      </c>
      <c r="E65" s="11" t="s">
        <v>13</v>
      </c>
      <c r="F65" s="11" t="s">
        <v>39</v>
      </c>
      <c r="G65" s="11">
        <v>2</v>
      </c>
      <c r="H65" s="12">
        <v>3368.05</v>
      </c>
      <c r="I65" s="12">
        <v>6736.1</v>
      </c>
    </row>
    <row r="66" ht="15" customHeight="1" spans="1:9">
      <c r="A66" s="11" t="s">
        <v>175</v>
      </c>
      <c r="B66" s="11" t="s">
        <v>176</v>
      </c>
      <c r="C66" s="11" t="s">
        <v>177</v>
      </c>
      <c r="D66" s="11" t="s">
        <v>23</v>
      </c>
      <c r="E66" s="11" t="s">
        <v>27</v>
      </c>
      <c r="F66" s="11" t="s">
        <v>156</v>
      </c>
      <c r="G66" s="11">
        <v>3</v>
      </c>
      <c r="H66" s="12">
        <v>488.58</v>
      </c>
      <c r="I66" s="12">
        <v>1465.74</v>
      </c>
    </row>
    <row r="67" ht="15" customHeight="1" spans="1:9">
      <c r="A67" s="11" t="s">
        <v>178</v>
      </c>
      <c r="B67" s="11" t="s">
        <v>179</v>
      </c>
      <c r="C67" s="11" t="s">
        <v>42</v>
      </c>
      <c r="D67" s="11" t="s">
        <v>35</v>
      </c>
      <c r="E67" s="11" t="s">
        <v>19</v>
      </c>
      <c r="F67" s="11" t="s">
        <v>59</v>
      </c>
      <c r="G67" s="11">
        <v>3</v>
      </c>
      <c r="H67" s="12">
        <v>3150.39</v>
      </c>
      <c r="I67" s="12">
        <v>9451.17</v>
      </c>
    </row>
    <row r="68" ht="15" customHeight="1" spans="1:9">
      <c r="A68" s="11" t="s">
        <v>180</v>
      </c>
      <c r="B68" s="11" t="s">
        <v>181</v>
      </c>
      <c r="C68" s="11" t="s">
        <v>47</v>
      </c>
      <c r="D68" s="11" t="s">
        <v>18</v>
      </c>
      <c r="E68" s="11" t="s">
        <v>19</v>
      </c>
      <c r="F68" s="11" t="s">
        <v>69</v>
      </c>
      <c r="G68" s="11">
        <v>7</v>
      </c>
      <c r="H68" s="12">
        <v>5876.2</v>
      </c>
      <c r="I68" s="12">
        <v>41133.4</v>
      </c>
    </row>
    <row r="69" ht="15" customHeight="1" spans="1:9">
      <c r="A69" s="11" t="s">
        <v>182</v>
      </c>
      <c r="B69" s="11" t="s">
        <v>183</v>
      </c>
      <c r="C69" s="11" t="s">
        <v>142</v>
      </c>
      <c r="D69" s="11" t="s">
        <v>35</v>
      </c>
      <c r="E69" s="11" t="s">
        <v>27</v>
      </c>
      <c r="F69" s="11" t="s">
        <v>156</v>
      </c>
      <c r="G69" s="11">
        <v>8</v>
      </c>
      <c r="H69" s="12">
        <v>340.44</v>
      </c>
      <c r="I69" s="12">
        <v>2723.52</v>
      </c>
    </row>
    <row r="70" ht="15" customHeight="1" spans="1:9">
      <c r="A70" s="11" t="s">
        <v>184</v>
      </c>
      <c r="B70" s="11" t="s">
        <v>185</v>
      </c>
      <c r="C70" s="11" t="s">
        <v>17</v>
      </c>
      <c r="D70" s="11" t="s">
        <v>12</v>
      </c>
      <c r="E70" s="11" t="s">
        <v>19</v>
      </c>
      <c r="F70" s="11" t="s">
        <v>90</v>
      </c>
      <c r="G70" s="11">
        <v>2</v>
      </c>
      <c r="H70" s="12">
        <v>7792.99</v>
      </c>
      <c r="I70" s="12">
        <v>15585.98</v>
      </c>
    </row>
    <row r="71" ht="15" customHeight="1" spans="1:9">
      <c r="A71" s="11" t="s">
        <v>186</v>
      </c>
      <c r="B71" s="11" t="s">
        <v>187</v>
      </c>
      <c r="C71" s="11" t="s">
        <v>75</v>
      </c>
      <c r="D71" s="11" t="s">
        <v>35</v>
      </c>
      <c r="E71" s="11" t="s">
        <v>19</v>
      </c>
      <c r="F71" s="11" t="s">
        <v>90</v>
      </c>
      <c r="G71" s="11">
        <v>8</v>
      </c>
      <c r="H71" s="12">
        <v>2295.77</v>
      </c>
      <c r="I71" s="12">
        <v>18366.16</v>
      </c>
    </row>
    <row r="72" ht="15" customHeight="1" spans="1:9">
      <c r="A72" s="11" t="s">
        <v>188</v>
      </c>
      <c r="B72" s="11" t="s">
        <v>189</v>
      </c>
      <c r="C72" s="11" t="s">
        <v>190</v>
      </c>
      <c r="D72" s="11" t="s">
        <v>23</v>
      </c>
      <c r="E72" s="11" t="s">
        <v>13</v>
      </c>
      <c r="F72" s="11" t="s">
        <v>114</v>
      </c>
      <c r="G72" s="11">
        <v>5</v>
      </c>
      <c r="H72" s="12">
        <v>7383.79</v>
      </c>
      <c r="I72" s="12">
        <v>36918.95</v>
      </c>
    </row>
    <row r="73" ht="15" customHeight="1" spans="1:9">
      <c r="A73" s="11" t="s">
        <v>191</v>
      </c>
      <c r="B73" s="11" t="s">
        <v>189</v>
      </c>
      <c r="C73" s="11" t="s">
        <v>75</v>
      </c>
      <c r="D73" s="11" t="s">
        <v>12</v>
      </c>
      <c r="E73" s="11" t="s">
        <v>27</v>
      </c>
      <c r="F73" s="11" t="s">
        <v>156</v>
      </c>
      <c r="G73" s="11">
        <v>8</v>
      </c>
      <c r="H73" s="12">
        <v>44.1</v>
      </c>
      <c r="I73" s="12">
        <v>352.8</v>
      </c>
    </row>
    <row r="74" ht="15" customHeight="1" spans="1:9">
      <c r="A74" s="11" t="s">
        <v>192</v>
      </c>
      <c r="B74" s="11" t="s">
        <v>189</v>
      </c>
      <c r="C74" s="11" t="s">
        <v>97</v>
      </c>
      <c r="D74" s="11" t="s">
        <v>18</v>
      </c>
      <c r="E74" s="11" t="s">
        <v>13</v>
      </c>
      <c r="F74" s="11" t="s">
        <v>14</v>
      </c>
      <c r="G74" s="11">
        <v>5</v>
      </c>
      <c r="H74" s="12">
        <v>12427.31</v>
      </c>
      <c r="I74" s="12">
        <v>62136.55</v>
      </c>
    </row>
    <row r="75" ht="15" customHeight="1" spans="1:9">
      <c r="A75" s="11" t="s">
        <v>193</v>
      </c>
      <c r="B75" s="11" t="s">
        <v>194</v>
      </c>
      <c r="C75" s="11" t="s">
        <v>44</v>
      </c>
      <c r="D75" s="11" t="s">
        <v>23</v>
      </c>
      <c r="E75" s="11" t="s">
        <v>19</v>
      </c>
      <c r="F75" s="11" t="s">
        <v>90</v>
      </c>
      <c r="G75" s="11">
        <v>4</v>
      </c>
      <c r="H75" s="12">
        <v>4452.1</v>
      </c>
      <c r="I75" s="12">
        <v>17808.4</v>
      </c>
    </row>
    <row r="76" ht="15" customHeight="1" spans="1:9">
      <c r="A76" s="11" t="s">
        <v>195</v>
      </c>
      <c r="B76" s="11" t="s">
        <v>194</v>
      </c>
      <c r="C76" s="11" t="s">
        <v>17</v>
      </c>
      <c r="D76" s="11" t="s">
        <v>35</v>
      </c>
      <c r="E76" s="11" t="s">
        <v>13</v>
      </c>
      <c r="F76" s="11" t="s">
        <v>114</v>
      </c>
      <c r="G76" s="11">
        <v>8</v>
      </c>
      <c r="H76" s="12">
        <v>9192.97</v>
      </c>
      <c r="I76" s="12">
        <v>73543.76</v>
      </c>
    </row>
    <row r="77" ht="15" customHeight="1" spans="1:9">
      <c r="A77" s="11" t="s">
        <v>196</v>
      </c>
      <c r="B77" s="11" t="s">
        <v>197</v>
      </c>
      <c r="C77" s="11" t="s">
        <v>75</v>
      </c>
      <c r="D77" s="11" t="s">
        <v>12</v>
      </c>
      <c r="E77" s="11" t="s">
        <v>19</v>
      </c>
      <c r="F77" s="11" t="s">
        <v>20</v>
      </c>
      <c r="G77" s="11">
        <v>2</v>
      </c>
      <c r="H77" s="12">
        <v>4859.15</v>
      </c>
      <c r="I77" s="12">
        <v>9718.3</v>
      </c>
    </row>
    <row r="78" ht="15" customHeight="1" spans="1:9">
      <c r="A78" s="11" t="s">
        <v>198</v>
      </c>
      <c r="B78" s="11" t="s">
        <v>199</v>
      </c>
      <c r="C78" s="11" t="s">
        <v>174</v>
      </c>
      <c r="D78" s="11" t="s">
        <v>18</v>
      </c>
      <c r="E78" s="11" t="s">
        <v>27</v>
      </c>
      <c r="F78" s="11" t="s">
        <v>156</v>
      </c>
      <c r="G78" s="11">
        <v>8</v>
      </c>
      <c r="H78" s="12">
        <v>187.84</v>
      </c>
      <c r="I78" s="12">
        <v>1502.72</v>
      </c>
    </row>
    <row r="79" ht="15" customHeight="1" spans="1:9">
      <c r="A79" s="11" t="s">
        <v>200</v>
      </c>
      <c r="B79" s="11" t="s">
        <v>201</v>
      </c>
      <c r="C79" s="11" t="s">
        <v>202</v>
      </c>
      <c r="D79" s="11" t="s">
        <v>18</v>
      </c>
      <c r="E79" s="11" t="s">
        <v>13</v>
      </c>
      <c r="F79" s="11" t="s">
        <v>14</v>
      </c>
      <c r="G79" s="11">
        <v>5</v>
      </c>
      <c r="H79" s="12">
        <v>9003.18</v>
      </c>
      <c r="I79" s="12">
        <v>45015.9</v>
      </c>
    </row>
    <row r="80" ht="15" customHeight="1" spans="1:9">
      <c r="A80" s="11" t="s">
        <v>203</v>
      </c>
      <c r="B80" s="11" t="s">
        <v>201</v>
      </c>
      <c r="C80" s="11" t="s">
        <v>97</v>
      </c>
      <c r="D80" s="11" t="s">
        <v>35</v>
      </c>
      <c r="E80" s="11" t="s">
        <v>27</v>
      </c>
      <c r="F80" s="11" t="s">
        <v>136</v>
      </c>
      <c r="G80" s="11">
        <v>7</v>
      </c>
      <c r="H80" s="12">
        <v>95.92</v>
      </c>
      <c r="I80" s="12">
        <v>671.44</v>
      </c>
    </row>
    <row r="81" ht="15" customHeight="1" spans="1:9">
      <c r="A81" s="11" t="s">
        <v>204</v>
      </c>
      <c r="B81" s="11" t="s">
        <v>205</v>
      </c>
      <c r="C81" s="11" t="s">
        <v>51</v>
      </c>
      <c r="D81" s="11" t="s">
        <v>23</v>
      </c>
      <c r="E81" s="11" t="s">
        <v>27</v>
      </c>
      <c r="F81" s="11" t="s">
        <v>28</v>
      </c>
      <c r="G81" s="11">
        <v>1</v>
      </c>
      <c r="H81" s="12">
        <v>448.48</v>
      </c>
      <c r="I81" s="12">
        <v>448.48</v>
      </c>
    </row>
    <row r="82" ht="15" customHeight="1" spans="1:9">
      <c r="A82" s="11" t="s">
        <v>206</v>
      </c>
      <c r="B82" s="11" t="s">
        <v>207</v>
      </c>
      <c r="C82" s="11" t="s">
        <v>58</v>
      </c>
      <c r="D82" s="11" t="s">
        <v>23</v>
      </c>
      <c r="E82" s="11" t="s">
        <v>19</v>
      </c>
      <c r="F82" s="11" t="s">
        <v>90</v>
      </c>
      <c r="G82" s="11">
        <v>6</v>
      </c>
      <c r="H82" s="12">
        <v>5909.8</v>
      </c>
      <c r="I82" s="12">
        <v>35458.8</v>
      </c>
    </row>
    <row r="83" ht="15" customHeight="1" spans="1:9">
      <c r="A83" s="11" t="s">
        <v>208</v>
      </c>
      <c r="B83" s="11" t="s">
        <v>209</v>
      </c>
      <c r="C83" s="11" t="s">
        <v>44</v>
      </c>
      <c r="D83" s="11" t="s">
        <v>23</v>
      </c>
      <c r="E83" s="11" t="s">
        <v>13</v>
      </c>
      <c r="F83" s="11" t="s">
        <v>48</v>
      </c>
      <c r="G83" s="11">
        <v>1</v>
      </c>
      <c r="H83" s="12">
        <v>14039.98</v>
      </c>
      <c r="I83" s="12">
        <v>14039.98</v>
      </c>
    </row>
    <row r="84" ht="15" customHeight="1" spans="1:9">
      <c r="A84" s="11" t="s">
        <v>210</v>
      </c>
      <c r="B84" s="11" t="s">
        <v>211</v>
      </c>
      <c r="C84" s="11" t="s">
        <v>135</v>
      </c>
      <c r="D84" s="11" t="s">
        <v>12</v>
      </c>
      <c r="E84" s="11" t="s">
        <v>27</v>
      </c>
      <c r="F84" s="11" t="s">
        <v>104</v>
      </c>
      <c r="G84" s="11">
        <v>5</v>
      </c>
      <c r="H84" s="12">
        <v>262.6</v>
      </c>
      <c r="I84" s="12">
        <v>1313</v>
      </c>
    </row>
    <row r="85" ht="15" customHeight="1" spans="1:9">
      <c r="A85" s="11" t="s">
        <v>212</v>
      </c>
      <c r="B85" s="11" t="s">
        <v>213</v>
      </c>
      <c r="C85" s="11" t="s">
        <v>65</v>
      </c>
      <c r="D85" s="11" t="s">
        <v>18</v>
      </c>
      <c r="E85" s="11" t="s">
        <v>13</v>
      </c>
      <c r="F85" s="11" t="s">
        <v>39</v>
      </c>
      <c r="G85" s="11">
        <v>4</v>
      </c>
      <c r="H85" s="12">
        <v>10742.29</v>
      </c>
      <c r="I85" s="12">
        <v>42969.16</v>
      </c>
    </row>
    <row r="86" ht="15" customHeight="1" spans="1:9">
      <c r="A86" s="11" t="s">
        <v>214</v>
      </c>
      <c r="B86" s="11" t="s">
        <v>213</v>
      </c>
      <c r="C86" s="11" t="s">
        <v>42</v>
      </c>
      <c r="D86" s="11" t="s">
        <v>23</v>
      </c>
      <c r="E86" s="11" t="s">
        <v>27</v>
      </c>
      <c r="F86" s="11" t="s">
        <v>94</v>
      </c>
      <c r="G86" s="11">
        <v>5</v>
      </c>
      <c r="H86" s="12">
        <v>201.97</v>
      </c>
      <c r="I86" s="12">
        <v>1009.85</v>
      </c>
    </row>
    <row r="87" ht="15" customHeight="1" spans="1:9">
      <c r="A87" s="11" t="s">
        <v>215</v>
      </c>
      <c r="B87" s="11" t="s">
        <v>216</v>
      </c>
      <c r="C87" s="11" t="s">
        <v>54</v>
      </c>
      <c r="D87" s="11" t="s">
        <v>23</v>
      </c>
      <c r="E87" s="11" t="s">
        <v>19</v>
      </c>
      <c r="F87" s="11" t="s">
        <v>59</v>
      </c>
      <c r="G87" s="11">
        <v>2</v>
      </c>
      <c r="H87" s="12">
        <v>2214.65</v>
      </c>
      <c r="I87" s="12">
        <v>4429.3</v>
      </c>
    </row>
    <row r="88" ht="15" customHeight="1" spans="1:9">
      <c r="A88" s="11" t="s">
        <v>217</v>
      </c>
      <c r="B88" s="11" t="s">
        <v>218</v>
      </c>
      <c r="C88" s="11" t="s">
        <v>44</v>
      </c>
      <c r="D88" s="11" t="s">
        <v>12</v>
      </c>
      <c r="E88" s="11" t="s">
        <v>13</v>
      </c>
      <c r="F88" s="11" t="s">
        <v>39</v>
      </c>
      <c r="G88" s="11">
        <v>4</v>
      </c>
      <c r="H88" s="12">
        <v>2281.99</v>
      </c>
      <c r="I88" s="12">
        <v>9127.96</v>
      </c>
    </row>
    <row r="89" ht="15" customHeight="1" spans="1:9">
      <c r="A89" s="11" t="s">
        <v>219</v>
      </c>
      <c r="B89" s="11" t="s">
        <v>218</v>
      </c>
      <c r="C89" s="11" t="s">
        <v>220</v>
      </c>
      <c r="D89" s="11" t="s">
        <v>12</v>
      </c>
      <c r="E89" s="11" t="s">
        <v>27</v>
      </c>
      <c r="F89" s="11" t="s">
        <v>104</v>
      </c>
      <c r="G89" s="11">
        <v>5</v>
      </c>
      <c r="H89" s="12">
        <v>137.55</v>
      </c>
      <c r="I89" s="12">
        <v>687.75</v>
      </c>
    </row>
    <row r="90" ht="15" customHeight="1" spans="1:9">
      <c r="A90" s="11" t="s">
        <v>221</v>
      </c>
      <c r="B90" s="11" t="s">
        <v>218</v>
      </c>
      <c r="C90" s="11" t="s">
        <v>222</v>
      </c>
      <c r="D90" s="11" t="s">
        <v>18</v>
      </c>
      <c r="E90" s="11" t="s">
        <v>27</v>
      </c>
      <c r="F90" s="11" t="s">
        <v>104</v>
      </c>
      <c r="G90" s="11">
        <v>3</v>
      </c>
      <c r="H90" s="12">
        <v>281.88</v>
      </c>
      <c r="I90" s="12">
        <v>845.64</v>
      </c>
    </row>
    <row r="91" ht="15" customHeight="1" spans="1:9">
      <c r="A91" s="11" t="s">
        <v>223</v>
      </c>
      <c r="B91" s="11" t="s">
        <v>224</v>
      </c>
      <c r="C91" s="11" t="s">
        <v>17</v>
      </c>
      <c r="D91" s="11" t="s">
        <v>35</v>
      </c>
      <c r="E91" s="11" t="s">
        <v>13</v>
      </c>
      <c r="F91" s="11" t="s">
        <v>48</v>
      </c>
      <c r="G91" s="11">
        <v>4</v>
      </c>
      <c r="H91" s="12">
        <v>13197.53</v>
      </c>
      <c r="I91" s="12">
        <v>52790.12</v>
      </c>
    </row>
    <row r="92" ht="15" customHeight="1" spans="1:9">
      <c r="A92" s="11" t="s">
        <v>225</v>
      </c>
      <c r="B92" s="11" t="s">
        <v>226</v>
      </c>
      <c r="C92" s="11" t="s">
        <v>71</v>
      </c>
      <c r="D92" s="11" t="s">
        <v>12</v>
      </c>
      <c r="E92" s="11" t="s">
        <v>19</v>
      </c>
      <c r="F92" s="11" t="s">
        <v>90</v>
      </c>
      <c r="G92" s="11">
        <v>6</v>
      </c>
      <c r="H92" s="12">
        <v>830.97</v>
      </c>
      <c r="I92" s="12">
        <v>4985.82</v>
      </c>
    </row>
    <row r="93" ht="15" customHeight="1" spans="1:9">
      <c r="A93" s="11" t="s">
        <v>227</v>
      </c>
      <c r="B93" s="11" t="s">
        <v>228</v>
      </c>
      <c r="C93" s="11" t="s">
        <v>89</v>
      </c>
      <c r="D93" s="11" t="s">
        <v>12</v>
      </c>
      <c r="E93" s="11" t="s">
        <v>19</v>
      </c>
      <c r="F93" s="11" t="s">
        <v>59</v>
      </c>
      <c r="G93" s="11">
        <v>6</v>
      </c>
      <c r="H93" s="12">
        <v>1591.98</v>
      </c>
      <c r="I93" s="12">
        <v>9551.88</v>
      </c>
    </row>
    <row r="94" ht="15" customHeight="1" spans="1:9">
      <c r="A94" s="11" t="s">
        <v>229</v>
      </c>
      <c r="B94" s="11" t="s">
        <v>228</v>
      </c>
      <c r="C94" s="11" t="s">
        <v>75</v>
      </c>
      <c r="D94" s="11" t="s">
        <v>12</v>
      </c>
      <c r="E94" s="11" t="s">
        <v>13</v>
      </c>
      <c r="F94" s="11" t="s">
        <v>230</v>
      </c>
      <c r="G94" s="11">
        <v>5</v>
      </c>
      <c r="H94" s="12">
        <v>5851.11</v>
      </c>
      <c r="I94" s="12">
        <v>29255.55</v>
      </c>
    </row>
    <row r="95" ht="15" customHeight="1" spans="1:9">
      <c r="A95" s="11" t="s">
        <v>231</v>
      </c>
      <c r="B95" s="11" t="s">
        <v>232</v>
      </c>
      <c r="C95" s="11" t="s">
        <v>38</v>
      </c>
      <c r="D95" s="11" t="s">
        <v>35</v>
      </c>
      <c r="E95" s="11" t="s">
        <v>19</v>
      </c>
      <c r="F95" s="11" t="s">
        <v>55</v>
      </c>
      <c r="G95" s="11">
        <v>5</v>
      </c>
      <c r="H95" s="12">
        <v>4268.98</v>
      </c>
      <c r="I95" s="12">
        <v>21344.9</v>
      </c>
    </row>
    <row r="96" ht="15" customHeight="1" spans="1:9">
      <c r="A96" s="11" t="s">
        <v>233</v>
      </c>
      <c r="B96" s="11" t="s">
        <v>234</v>
      </c>
      <c r="C96" s="11" t="s">
        <v>65</v>
      </c>
      <c r="D96" s="11" t="s">
        <v>18</v>
      </c>
      <c r="E96" s="11" t="s">
        <v>13</v>
      </c>
      <c r="F96" s="11" t="s">
        <v>62</v>
      </c>
      <c r="G96" s="11">
        <v>4</v>
      </c>
      <c r="H96" s="12">
        <v>13172.78</v>
      </c>
      <c r="I96" s="12">
        <v>52691.12</v>
      </c>
    </row>
    <row r="97" ht="15" customHeight="1" spans="1:9">
      <c r="A97" s="11" t="s">
        <v>235</v>
      </c>
      <c r="B97" s="11" t="s">
        <v>236</v>
      </c>
      <c r="C97" s="11" t="s">
        <v>237</v>
      </c>
      <c r="D97" s="11" t="s">
        <v>35</v>
      </c>
      <c r="E97" s="11" t="s">
        <v>19</v>
      </c>
      <c r="F97" s="11" t="s">
        <v>59</v>
      </c>
      <c r="G97" s="11">
        <v>1</v>
      </c>
      <c r="H97" s="12">
        <v>5538.18</v>
      </c>
      <c r="I97" s="12">
        <v>5538.18</v>
      </c>
    </row>
    <row r="98" ht="15" customHeight="1" spans="1:9">
      <c r="A98" s="11" t="s">
        <v>238</v>
      </c>
      <c r="B98" s="11" t="s">
        <v>239</v>
      </c>
      <c r="C98" s="11" t="s">
        <v>81</v>
      </c>
      <c r="D98" s="11" t="s">
        <v>35</v>
      </c>
      <c r="E98" s="11" t="s">
        <v>19</v>
      </c>
      <c r="F98" s="11" t="s">
        <v>24</v>
      </c>
      <c r="G98" s="11">
        <v>7</v>
      </c>
      <c r="H98" s="12">
        <v>5532.29</v>
      </c>
      <c r="I98" s="12">
        <v>38726.03</v>
      </c>
    </row>
    <row r="99" ht="15" customHeight="1" spans="1:9">
      <c r="A99" s="11" t="s">
        <v>240</v>
      </c>
      <c r="B99" s="11" t="s">
        <v>241</v>
      </c>
      <c r="C99" s="11" t="s">
        <v>65</v>
      </c>
      <c r="D99" s="11" t="s">
        <v>12</v>
      </c>
      <c r="E99" s="11" t="s">
        <v>19</v>
      </c>
      <c r="F99" s="11" t="s">
        <v>69</v>
      </c>
      <c r="G99" s="11">
        <v>1</v>
      </c>
      <c r="H99" s="12">
        <v>6059.41</v>
      </c>
      <c r="I99" s="12">
        <v>6059.41</v>
      </c>
    </row>
    <row r="100" ht="15" customHeight="1" spans="1:9">
      <c r="A100" s="11" t="s">
        <v>242</v>
      </c>
      <c r="B100" s="11" t="s">
        <v>243</v>
      </c>
      <c r="C100" s="11" t="s">
        <v>107</v>
      </c>
      <c r="D100" s="11" t="s">
        <v>18</v>
      </c>
      <c r="E100" s="11" t="s">
        <v>27</v>
      </c>
      <c r="F100" s="11" t="s">
        <v>94</v>
      </c>
      <c r="G100" s="11">
        <v>1</v>
      </c>
      <c r="H100" s="12">
        <v>432.62</v>
      </c>
      <c r="I100" s="12">
        <v>432.62</v>
      </c>
    </row>
    <row r="101" ht="15" customHeight="1" spans="1:9">
      <c r="A101" s="11" t="s">
        <v>244</v>
      </c>
      <c r="B101" s="11" t="s">
        <v>245</v>
      </c>
      <c r="C101" s="11" t="s">
        <v>107</v>
      </c>
      <c r="D101" s="11" t="s">
        <v>12</v>
      </c>
      <c r="E101" s="11" t="s">
        <v>19</v>
      </c>
      <c r="F101" s="11" t="s">
        <v>24</v>
      </c>
      <c r="G101" s="11">
        <v>6</v>
      </c>
      <c r="H101" s="12">
        <v>4745.61</v>
      </c>
      <c r="I101" s="12">
        <v>28473.66</v>
      </c>
    </row>
  </sheetData>
  <pageMargins left="0.7" right="0.7" top="0.75" bottom="0.75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A1" sqref="A1:B1"/>
    </sheetView>
  </sheetViews>
  <sheetFormatPr defaultColWidth="8.67592592592593" defaultRowHeight="14.4"/>
  <cols>
    <col min="1" max="1" width="24" customWidth="1"/>
    <col min="2" max="2" width="20" customWidth="1"/>
    <col min="8" max="8" width="20" customWidth="1"/>
    <col min="9" max="9" width="12.6666666666667" customWidth="1"/>
  </cols>
  <sheetData>
    <row r="1" ht="21" spans="1:9">
      <c r="A1" s="1" t="s">
        <v>246</v>
      </c>
      <c r="B1" s="1"/>
      <c r="H1" s="2" t="s">
        <v>247</v>
      </c>
      <c r="I1" s="2" t="s">
        <v>248</v>
      </c>
    </row>
    <row r="2" spans="1:9">
      <c r="A2" s="3" t="s">
        <v>249</v>
      </c>
      <c r="B2" s="3"/>
      <c r="H2" t="s">
        <v>230</v>
      </c>
      <c r="I2" s="4">
        <f>SUMIFS(SalesTable[Sales],SalesTable[Product Name],H2)</f>
        <v>29255.55</v>
      </c>
    </row>
    <row r="3" spans="1:9">
      <c r="H3" t="s">
        <v>129</v>
      </c>
      <c r="I3" s="4">
        <f>SUMIFS(SalesTable[Sales],SalesTable[Product Name],H3)</f>
        <v>2323.65</v>
      </c>
    </row>
    <row r="4" ht="15.6" spans="1:9">
      <c r="A4" s="5" t="s">
        <v>250</v>
      </c>
      <c r="B4" s="6">
        <f>SUM(SalesTable[Sales])</f>
        <v>1739354.61</v>
      </c>
      <c r="H4" t="s">
        <v>90</v>
      </c>
      <c r="I4" s="4">
        <f>SUMIFS(SalesTable[Sales],SalesTable[Product Name],H4)</f>
        <v>172817.89</v>
      </c>
    </row>
    <row r="5" ht="15.6" spans="1:9">
      <c r="A5" s="5" t="s">
        <v>251</v>
      </c>
      <c r="B5" s="7">
        <f>SUM(SalesTable[Quantity])</f>
        <v>427</v>
      </c>
      <c r="H5" t="s">
        <v>114</v>
      </c>
      <c r="I5" s="4">
        <f>SUMIFS(SalesTable[Sales],SalesTable[Product Name],H5)</f>
        <v>158775.86</v>
      </c>
    </row>
    <row r="6" ht="15.6" spans="1:9">
      <c r="A6" s="5" t="s">
        <v>252</v>
      </c>
      <c r="B6" s="7">
        <f>COUNTA(SalesTable[Order ID])</f>
        <v>100</v>
      </c>
      <c r="H6" t="s">
        <v>78</v>
      </c>
      <c r="I6" s="4">
        <f>SUMIFS(SalesTable[Sales],SalesTable[Product Name],H6)</f>
        <v>1563.9</v>
      </c>
    </row>
    <row r="7" ht="15.6" spans="1:9">
      <c r="A7" s="5" t="s">
        <v>253</v>
      </c>
      <c r="B7" s="6">
        <f>B4/B6</f>
        <v>17393.5461</v>
      </c>
      <c r="H7" t="s">
        <v>156</v>
      </c>
      <c r="I7" s="4">
        <f>SUMIFS(SalesTable[Sales],SalesTable[Product Name],H7)</f>
        <v>6452.02</v>
      </c>
    </row>
    <row r="8" ht="15.6" spans="1:9">
      <c r="A8" s="5" t="s">
        <v>254</v>
      </c>
      <c r="B8" s="8" t="str">
        <f>INDEX(H2:H20,MATCH(MAX(I2:I20),I2:I20,0))</f>
        <v>Office Chair</v>
      </c>
      <c r="H8" t="s">
        <v>62</v>
      </c>
      <c r="I8" s="4">
        <f>SUMIFS(SalesTable[Sales],SalesTable[Product Name],H8)</f>
        <v>258190.92</v>
      </c>
    </row>
    <row r="9" spans="1:9">
      <c r="H9" t="s">
        <v>104</v>
      </c>
      <c r="I9" s="4">
        <f>SUMIFS(SalesTable[Sales],SalesTable[Product Name],H9)</f>
        <v>11008.06</v>
      </c>
    </row>
    <row r="10" spans="1:9">
      <c r="H10" t="s">
        <v>69</v>
      </c>
      <c r="I10" s="4">
        <f>SUMIFS(SalesTable[Sales],SalesTable[Product Name],H10)</f>
        <v>142393.47</v>
      </c>
    </row>
    <row r="11" spans="1:9">
      <c r="H11" t="s">
        <v>20</v>
      </c>
      <c r="I11" s="4">
        <f>SUMIFS(SalesTable[Sales],SalesTable[Product Name],H11)</f>
        <v>121047.41</v>
      </c>
    </row>
    <row r="12" spans="1:9">
      <c r="H12" t="s">
        <v>24</v>
      </c>
      <c r="I12" s="4">
        <f>SUMIFS(SalesTable[Sales],SalesTable[Product Name],H12)</f>
        <v>162297.1</v>
      </c>
    </row>
    <row r="13" spans="1:9">
      <c r="H13" t="s">
        <v>48</v>
      </c>
      <c r="I13" s="4">
        <f>SUMIFS(SalesTable[Sales],SalesTable[Product Name],H13)</f>
        <v>293957.91</v>
      </c>
    </row>
    <row r="14" spans="1:9">
      <c r="H14" t="s">
        <v>136</v>
      </c>
      <c r="I14" s="4">
        <f>SUMIFS(SalesTable[Sales],SalesTable[Product Name],H14)</f>
        <v>1567.48</v>
      </c>
    </row>
    <row r="15" spans="1:9">
      <c r="H15" t="s">
        <v>14</v>
      </c>
      <c r="I15" s="4">
        <f>SUMIFS(SalesTable[Sales],SalesTable[Product Name],H15)</f>
        <v>135143.05</v>
      </c>
    </row>
    <row r="16" spans="1:9">
      <c r="H16" t="s">
        <v>94</v>
      </c>
      <c r="I16" s="4">
        <f>SUMIFS(SalesTable[Sales],SalesTable[Product Name],H16)</f>
        <v>2869.81</v>
      </c>
    </row>
    <row r="17" spans="8:9">
      <c r="H17" t="s">
        <v>28</v>
      </c>
      <c r="I17" s="4">
        <f>SUMIFS(SalesTable[Sales],SalesTable[Product Name],H17)</f>
        <v>9537.1</v>
      </c>
    </row>
    <row r="18" spans="8:9">
      <c r="H18" t="s">
        <v>39</v>
      </c>
      <c r="I18" s="4">
        <f>SUMIFS(SalesTable[Sales],SalesTable[Product Name],H18)</f>
        <v>121797.19</v>
      </c>
    </row>
    <row r="19" spans="8:9">
      <c r="H19" t="s">
        <v>59</v>
      </c>
      <c r="I19" s="4">
        <f>SUMIFS(SalesTable[Sales],SalesTable[Product Name],H19)</f>
        <v>56145.93</v>
      </c>
    </row>
    <row r="20" spans="8:9">
      <c r="H20" t="s">
        <v>55</v>
      </c>
      <c r="I20" s="4">
        <f>SUMIFS(SalesTable[Sales],SalesTable[Product Name],H20)</f>
        <v>52210.31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RawData</vt:lpstr>
      <vt:lpstr>KPI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Akshat Srivastava</cp:lastModifiedBy>
  <cp:revision>0</cp:revision>
  <dcterms:created xsi:type="dcterms:W3CDTF">2026-09-17T11:49:00Z</dcterms:created>
  <dcterms:modified xsi:type="dcterms:W3CDTF">2026-09-17T12:29:31Z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AA60D58EB22A485589C985E78CA965E4_13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