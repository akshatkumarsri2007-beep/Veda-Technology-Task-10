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Data" sheetId="1" state="visible" r:id="rId3"/>
    <sheet name="KPI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<sst xmlns="http://schemas.openxmlformats.org/spreadsheetml/2006/main" count="637" uniqueCount="255">
  <si>
    <t xml:space="preserve">Order ID</t>
  </si>
  <si>
    <t xml:space="preserve">Order Date</t>
  </si>
  <si>
    <t xml:space="preserve">Customer Name</t>
  </si>
  <si>
    <t xml:space="preserve">Region</t>
  </si>
  <si>
    <t xml:space="preserve">Category</t>
  </si>
  <si>
    <t xml:space="preserve">Product Name</t>
  </si>
  <si>
    <t xml:space="preserve">Quantity</t>
  </si>
  <si>
    <t xml:space="preserve">Unit Price</t>
  </si>
  <si>
    <t xml:space="preserve">Sales</t>
  </si>
  <si>
    <t xml:space="preserve">ORD-1062</t>
  </si>
  <si>
    <t xml:space="preserve">01-03-2026</t>
  </si>
  <si>
    <t xml:space="preserve">Customer 28</t>
  </si>
  <si>
    <t xml:space="preserve">North</t>
  </si>
  <si>
    <t xml:space="preserve">Furniture</t>
  </si>
  <si>
    <t xml:space="preserve">Sofa</t>
  </si>
  <si>
    <t xml:space="preserve">ORD-1065</t>
  </si>
  <si>
    <t xml:space="preserve">01-06-2026</t>
  </si>
  <si>
    <t xml:space="preserve">Customer 25</t>
  </si>
  <si>
    <t xml:space="preserve">South</t>
  </si>
  <si>
    <t xml:space="preserve">Technology</t>
  </si>
  <si>
    <t xml:space="preserve">Laptop Stand</t>
  </si>
  <si>
    <t xml:space="preserve">ORD-1071</t>
  </si>
  <si>
    <t xml:space="preserve">01-08-2026</t>
  </si>
  <si>
    <t xml:space="preserve">West</t>
  </si>
  <si>
    <t xml:space="preserve">Monitor</t>
  </si>
  <si>
    <t xml:space="preserve">ORD-1080</t>
  </si>
  <si>
    <t xml:space="preserve">Customer 38</t>
  </si>
  <si>
    <t xml:space="preserve">Office Supplies</t>
  </si>
  <si>
    <t xml:space="preserve">Sticky Notes</t>
  </si>
  <si>
    <t xml:space="preserve">ORD-1039</t>
  </si>
  <si>
    <t xml:space="preserve">02-09-2026</t>
  </si>
  <si>
    <t xml:space="preserve">Customer 33</t>
  </si>
  <si>
    <t xml:space="preserve">ORD-1041</t>
  </si>
  <si>
    <t xml:space="preserve">03-03-2026</t>
  </si>
  <si>
    <t xml:space="preserve">Customer 27</t>
  </si>
  <si>
    <t xml:space="preserve">East</t>
  </si>
  <si>
    <t xml:space="preserve">ORD-1043</t>
  </si>
  <si>
    <t xml:space="preserve">03-06-2026</t>
  </si>
  <si>
    <t xml:space="preserve">Customer 40</t>
  </si>
  <si>
    <t xml:space="preserve">Study Table</t>
  </si>
  <si>
    <t xml:space="preserve">ORD-1066</t>
  </si>
  <si>
    <t xml:space="preserve">04-06-2026</t>
  </si>
  <si>
    <t xml:space="preserve">Customer 14</t>
  </si>
  <si>
    <t xml:space="preserve">ORD-1093</t>
  </si>
  <si>
    <t xml:space="preserve">Customer 37</t>
  </si>
  <si>
    <t xml:space="preserve">ORD-1095</t>
  </si>
  <si>
    <t xml:space="preserve">04-08-2026</t>
  </si>
  <si>
    <t xml:space="preserve">Customer 30</t>
  </si>
  <si>
    <t xml:space="preserve">Office Chair</t>
  </si>
  <si>
    <t xml:space="preserve">ORD-1046</t>
  </si>
  <si>
    <t xml:space="preserve">05-01-2026</t>
  </si>
  <si>
    <t xml:space="preserve">Customer 7</t>
  </si>
  <si>
    <t xml:space="preserve">ORD-1088</t>
  </si>
  <si>
    <t xml:space="preserve">05-02-2026</t>
  </si>
  <si>
    <t xml:space="preserve">Customer 13</t>
  </si>
  <si>
    <t xml:space="preserve">Wireless Mouse</t>
  </si>
  <si>
    <t xml:space="preserve">ORD-1064</t>
  </si>
  <si>
    <t xml:space="preserve">05-03-2026</t>
  </si>
  <si>
    <t xml:space="preserve">Customer 21</t>
  </si>
  <si>
    <t xml:space="preserve">USB Hub</t>
  </si>
  <si>
    <t xml:space="preserve">ORD-1030</t>
  </si>
  <si>
    <t xml:space="preserve">05-05-2026</t>
  </si>
  <si>
    <t xml:space="preserve">Filing Cabinet</t>
  </si>
  <si>
    <t xml:space="preserve">ORD-1016</t>
  </si>
  <si>
    <t xml:space="preserve">05-07-2026</t>
  </si>
  <si>
    <t xml:space="preserve">Customer 4</t>
  </si>
  <si>
    <t xml:space="preserve">ORD-1037</t>
  </si>
  <si>
    <t xml:space="preserve">05-08-2026</t>
  </si>
  <si>
    <t xml:space="preserve">Customer 19</t>
  </si>
  <si>
    <t xml:space="preserve">Keyboard</t>
  </si>
  <si>
    <t xml:space="preserve">ORD-1005</t>
  </si>
  <si>
    <t xml:space="preserve">Customer 22</t>
  </si>
  <si>
    <t xml:space="preserve">ORD-1031</t>
  </si>
  <si>
    <t xml:space="preserve">ORD-1011</t>
  </si>
  <si>
    <t xml:space="preserve">06-02-2026</t>
  </si>
  <si>
    <t xml:space="preserve">Customer 16</t>
  </si>
  <si>
    <t xml:space="preserve">ORD-1040</t>
  </si>
  <si>
    <t xml:space="preserve">06-04-2026</t>
  </si>
  <si>
    <t xml:space="preserve">Desk Organizer</t>
  </si>
  <si>
    <t xml:space="preserve">ORD-1045</t>
  </si>
  <si>
    <t xml:space="preserve">06-05-2026</t>
  </si>
  <si>
    <t xml:space="preserve">Customer 35</t>
  </si>
  <si>
    <t xml:space="preserve">ORD-1077</t>
  </si>
  <si>
    <t xml:space="preserve">06-09-2026</t>
  </si>
  <si>
    <t xml:space="preserve">ORD-1044</t>
  </si>
  <si>
    <t xml:space="preserve">07-02-2026</t>
  </si>
  <si>
    <t xml:space="preserve">Customer 23</t>
  </si>
  <si>
    <t xml:space="preserve">ORD-1024</t>
  </si>
  <si>
    <t xml:space="preserve">07-03-2026</t>
  </si>
  <si>
    <t xml:space="preserve">Customer 39</t>
  </si>
  <si>
    <t xml:space="preserve">Bluetooth Speaker</t>
  </si>
  <si>
    <t xml:space="preserve">ORD-1052</t>
  </si>
  <si>
    <t xml:space="preserve">09-08-2026</t>
  </si>
  <si>
    <t xml:space="preserve">Customer 3</t>
  </si>
  <si>
    <t xml:space="preserve">Stapler</t>
  </si>
  <si>
    <t xml:space="preserve">ORD-1027</t>
  </si>
  <si>
    <t xml:space="preserve">11-01-2026</t>
  </si>
  <si>
    <t xml:space="preserve">Customer 1</t>
  </si>
  <si>
    <t xml:space="preserve">ORD-1087</t>
  </si>
  <si>
    <t xml:space="preserve">11-02-2026</t>
  </si>
  <si>
    <t xml:space="preserve">ORD-1063</t>
  </si>
  <si>
    <t xml:space="preserve">11-04-2026</t>
  </si>
  <si>
    <t xml:space="preserve">ORD-1096</t>
  </si>
  <si>
    <t xml:space="preserve">11-08-2026</t>
  </si>
  <si>
    <t xml:space="preserve">Highlighters</t>
  </si>
  <si>
    <t xml:space="preserve">ORD-1070</t>
  </si>
  <si>
    <t xml:space="preserve">13-01-2026</t>
  </si>
  <si>
    <t xml:space="preserve">Customer 5</t>
  </si>
  <si>
    <t xml:space="preserve">ORD-1055</t>
  </si>
  <si>
    <t xml:space="preserve">ORD-1058</t>
  </si>
  <si>
    <t xml:space="preserve">ORD-1023</t>
  </si>
  <si>
    <t xml:space="preserve">13-02-2026</t>
  </si>
  <si>
    <t xml:space="preserve">ORD-1033</t>
  </si>
  <si>
    <t xml:space="preserve">13-03-2026</t>
  </si>
  <si>
    <t xml:space="preserve">Bookshelf</t>
  </si>
  <si>
    <t xml:space="preserve">ORD-1026</t>
  </si>
  <si>
    <t xml:space="preserve">13-08-2026</t>
  </si>
  <si>
    <t xml:space="preserve">ORD-1084</t>
  </si>
  <si>
    <t xml:space="preserve">14-01-2026</t>
  </si>
  <si>
    <t xml:space="preserve">ORD-1002</t>
  </si>
  <si>
    <t xml:space="preserve">14-02-2026</t>
  </si>
  <si>
    <t xml:space="preserve">ORD-1042</t>
  </si>
  <si>
    <t xml:space="preserve">14-05-2026</t>
  </si>
  <si>
    <t xml:space="preserve">Customer 26</t>
  </si>
  <si>
    <t xml:space="preserve">ORD-1067</t>
  </si>
  <si>
    <t xml:space="preserve">14-06-2026</t>
  </si>
  <si>
    <t xml:space="preserve">ORD-1081</t>
  </si>
  <si>
    <t xml:space="preserve">14-07-2026</t>
  </si>
  <si>
    <t xml:space="preserve">ORD-1036</t>
  </si>
  <si>
    <t xml:space="preserve">Binder Clips</t>
  </si>
  <si>
    <t xml:space="preserve">ORD-1020</t>
  </si>
  <si>
    <t xml:space="preserve">14-09-2026</t>
  </si>
  <si>
    <t xml:space="preserve">Customer 20</t>
  </si>
  <si>
    <t xml:space="preserve">ORD-1060</t>
  </si>
  <si>
    <t xml:space="preserve">15-01-2026</t>
  </si>
  <si>
    <t xml:space="preserve">Customer 17</t>
  </si>
  <si>
    <t xml:space="preserve">Printer Paper</t>
  </si>
  <si>
    <t xml:space="preserve">ORD-1099</t>
  </si>
  <si>
    <t xml:space="preserve">ORD-1050</t>
  </si>
  <si>
    <t xml:space="preserve">15-05-2026</t>
  </si>
  <si>
    <t xml:space="preserve">ORD-1075</t>
  </si>
  <si>
    <t xml:space="preserve">15-08-2026</t>
  </si>
  <si>
    <t xml:space="preserve">Customer 36</t>
  </si>
  <si>
    <t xml:space="preserve">ORD-1015</t>
  </si>
  <si>
    <t xml:space="preserve">16-05-2026</t>
  </si>
  <si>
    <t xml:space="preserve">ORD-1047</t>
  </si>
  <si>
    <t xml:space="preserve">ORD-1003</t>
  </si>
  <si>
    <t xml:space="preserve">16-09-2026</t>
  </si>
  <si>
    <t xml:space="preserve">ORD-1013</t>
  </si>
  <si>
    <t xml:space="preserve">17-01-2026</t>
  </si>
  <si>
    <t xml:space="preserve">ORD-1006</t>
  </si>
  <si>
    <t xml:space="preserve">17-02-2026</t>
  </si>
  <si>
    <t xml:space="preserve">ORD-1069</t>
  </si>
  <si>
    <t xml:space="preserve">ORD-1049</t>
  </si>
  <si>
    <t xml:space="preserve">ORD-1056</t>
  </si>
  <si>
    <t xml:space="preserve">17-05-2026</t>
  </si>
  <si>
    <t xml:space="preserve">File Folders</t>
  </si>
  <si>
    <t xml:space="preserve">ORD-1086</t>
  </si>
  <si>
    <t xml:space="preserve">17-06-2026</t>
  </si>
  <si>
    <t xml:space="preserve">ORD-1053</t>
  </si>
  <si>
    <t xml:space="preserve">18-04-2026</t>
  </si>
  <si>
    <t xml:space="preserve">ORD-1014</t>
  </si>
  <si>
    <t xml:space="preserve">19-04-2026</t>
  </si>
  <si>
    <t xml:space="preserve">ORD-1025</t>
  </si>
  <si>
    <t xml:space="preserve">ORD-1034</t>
  </si>
  <si>
    <t xml:space="preserve">20-02-2026</t>
  </si>
  <si>
    <t xml:space="preserve">ORD-1089</t>
  </si>
  <si>
    <t xml:space="preserve">20-03-2026</t>
  </si>
  <si>
    <t xml:space="preserve">ORD-1021</t>
  </si>
  <si>
    <t xml:space="preserve">Customer 32</t>
  </si>
  <si>
    <t xml:space="preserve">ORD-1017</t>
  </si>
  <si>
    <t xml:space="preserve">ORD-1079</t>
  </si>
  <si>
    <t xml:space="preserve">ORD-1078</t>
  </si>
  <si>
    <t xml:space="preserve">20-05-2026</t>
  </si>
  <si>
    <t xml:space="preserve">Customer 15</t>
  </si>
  <si>
    <t xml:space="preserve">ORD-1054</t>
  </si>
  <si>
    <t xml:space="preserve">21-03-2026</t>
  </si>
  <si>
    <t xml:space="preserve">Customer 12</t>
  </si>
  <si>
    <t xml:space="preserve">ORD-1010</t>
  </si>
  <si>
    <t xml:space="preserve">21-08-2026</t>
  </si>
  <si>
    <t xml:space="preserve">ORD-1083</t>
  </si>
  <si>
    <t xml:space="preserve">22-06-2026</t>
  </si>
  <si>
    <t xml:space="preserve">ORD-1074</t>
  </si>
  <si>
    <t xml:space="preserve">22-08-2026</t>
  </si>
  <si>
    <t xml:space="preserve">ORD-1007</t>
  </si>
  <si>
    <t xml:space="preserve">23-01-2026</t>
  </si>
  <si>
    <t xml:space="preserve">ORD-1076</t>
  </si>
  <si>
    <t xml:space="preserve">23-03-2026</t>
  </si>
  <si>
    <t xml:space="preserve">ORD-1082</t>
  </si>
  <si>
    <t xml:space="preserve">23-04-2026</t>
  </si>
  <si>
    <t xml:space="preserve">Customer 2</t>
  </si>
  <si>
    <t xml:space="preserve">ORD-1073</t>
  </si>
  <si>
    <t xml:space="preserve">ORD-1004</t>
  </si>
  <si>
    <t xml:space="preserve">ORD-1029</t>
  </si>
  <si>
    <t xml:space="preserve">23-05-2026</t>
  </si>
  <si>
    <t xml:space="preserve">ORD-1098</t>
  </si>
  <si>
    <t xml:space="preserve">ORD-1092</t>
  </si>
  <si>
    <t xml:space="preserve">23-07-2026</t>
  </si>
  <si>
    <t xml:space="preserve">ORD-1057</t>
  </si>
  <si>
    <t xml:space="preserve">24-04-2026</t>
  </si>
  <si>
    <t xml:space="preserve">ORD-1100</t>
  </si>
  <si>
    <t xml:space="preserve">24-06-2026</t>
  </si>
  <si>
    <t xml:space="preserve">Customer 34</t>
  </si>
  <si>
    <t xml:space="preserve">ORD-1019</t>
  </si>
  <si>
    <t xml:space="preserve">ORD-1072</t>
  </si>
  <si>
    <t xml:space="preserve">24-07-2026</t>
  </si>
  <si>
    <t xml:space="preserve">ORD-1061</t>
  </si>
  <si>
    <t xml:space="preserve">25-02-2026</t>
  </si>
  <si>
    <t xml:space="preserve">ORD-1091</t>
  </si>
  <si>
    <t xml:space="preserve">25-03-2026</t>
  </si>
  <si>
    <t xml:space="preserve">ORD-1048</t>
  </si>
  <si>
    <t xml:space="preserve">25-06-2026</t>
  </si>
  <si>
    <t xml:space="preserve">ORD-1012</t>
  </si>
  <si>
    <t xml:space="preserve">25-08-2026</t>
  </si>
  <si>
    <t xml:space="preserve">ORD-1085</t>
  </si>
  <si>
    <t xml:space="preserve">ORD-1032</t>
  </si>
  <si>
    <t xml:space="preserve">26-07-2026</t>
  </si>
  <si>
    <t xml:space="preserve">ORD-1022</t>
  </si>
  <si>
    <t xml:space="preserve">27-02-2026</t>
  </si>
  <si>
    <t xml:space="preserve">ORD-1001</t>
  </si>
  <si>
    <t xml:space="preserve">Customer 9</t>
  </si>
  <si>
    <t xml:space="preserve">ORD-1051</t>
  </si>
  <si>
    <t xml:space="preserve">Customer 24</t>
  </si>
  <si>
    <t xml:space="preserve">ORD-1009</t>
  </si>
  <si>
    <t xml:space="preserve">27-04-2026</t>
  </si>
  <si>
    <t xml:space="preserve">ORD-1094</t>
  </si>
  <si>
    <t xml:space="preserve">27-06-2026</t>
  </si>
  <si>
    <t xml:space="preserve">ORD-1090</t>
  </si>
  <si>
    <t xml:space="preserve">27-08-2026</t>
  </si>
  <si>
    <t xml:space="preserve">ORD-1097</t>
  </si>
  <si>
    <t xml:space="preserve">Bed Frame</t>
  </si>
  <si>
    <t xml:space="preserve">ORD-1068</t>
  </si>
  <si>
    <t xml:space="preserve">28-03-2026</t>
  </si>
  <si>
    <t xml:space="preserve">ORD-1035</t>
  </si>
  <si>
    <t xml:space="preserve">28-07-2026</t>
  </si>
  <si>
    <t xml:space="preserve">ORD-1018</t>
  </si>
  <si>
    <t xml:space="preserve">28-08-2026</t>
  </si>
  <si>
    <t xml:space="preserve">Customer 8</t>
  </si>
  <si>
    <t xml:space="preserve">ORD-1059</t>
  </si>
  <si>
    <t xml:space="preserve">29-06-2026</t>
  </si>
  <si>
    <t xml:space="preserve">ORD-1038</t>
  </si>
  <si>
    <t xml:space="preserve">30-01-2026</t>
  </si>
  <si>
    <t xml:space="preserve">ORD-1028</t>
  </si>
  <si>
    <t xml:space="preserve">31-01-2026</t>
  </si>
  <si>
    <t xml:space="preserve">ORD-1008</t>
  </si>
  <si>
    <t xml:space="preserve">31-05-2026</t>
  </si>
  <si>
    <t xml:space="preserve">Simple KPI Tracking Sheet</t>
  </si>
  <si>
    <t xml:space="preserve">Product</t>
  </si>
  <si>
    <t xml:space="preserve">Total Sales</t>
  </si>
  <si>
    <t xml:space="preserve">Auto-updates from RawData (SalesTable)</t>
  </si>
  <si>
    <t xml:space="preserve">Total Revenue</t>
  </si>
  <si>
    <t xml:space="preserve">Total Units Sold</t>
  </si>
  <si>
    <t xml:space="preserve">Total Orders</t>
  </si>
  <si>
    <t xml:space="preserve">Average Order Value</t>
  </si>
  <si>
    <t xml:space="preserve">Top Product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</si>
</sst>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.00"/>
    <numFmt numFmtId="166" formatCode="\₹#,##0.00"/>
    <numFmt numFmtId="167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1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D9"/>
      <rgbColor rgb="FF808080"/>
      <rgbColor rgb="FF9999FF"/>
      <rgbColor rgb="FF993366"/>
      <rgbColor rgb="FFFFFFCC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alesTable" displayName="SalesTable" ref="A1:I101" headerRowCount="1" totalsRowCount="0" totalsRowShown="0">
  <autoFilter ref="A1:I101"/>
  <tableColumns count="9">
    <tableColumn id="1" name="Order ID"/>
    <tableColumn id="2" name="Order Date"/>
    <tableColumn id="3" name="Customer Name"/>
    <tableColumn id="4" name="Region"/>
    <tableColumn id="5" name="Category"/>
    <tableColumn id="6" name="Product Name"/>
    <tableColumn id="7" name="Quantity"/>
    <tableColumn id="8" name="Unit Price"/>
    <tableColumn id="9" name="Sal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"/>
    <col collapsed="false" customWidth="true" hidden="false" outlineLevel="0" max="3" min="3" style="1" width="16"/>
    <col collapsed="false" customWidth="true" hidden="false" outlineLevel="0" max="4" min="4" style="1" width="9"/>
    <col collapsed="false" customWidth="true" hidden="false" outlineLevel="0" max="5" min="5" style="1" width="18"/>
    <col collapsed="false" customWidth="true" hidden="false" outlineLevel="0" max="6" min="6" style="1" width="20"/>
    <col collapsed="false" customWidth="true" hidden="false" outlineLevel="0" max="7" min="7" style="1" width="11"/>
    <col collapsed="false" customWidth="true" hidden="false" outlineLevel="0" max="8" min="8" style="1" width="13"/>
    <col collapsed="false" customWidth="true" hidden="false" outlineLevel="0" max="9" min="9" style="1" width="1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n">
        <v>4</v>
      </c>
      <c r="H2" s="4" t="n">
        <v>4938.75</v>
      </c>
      <c r="I2" s="4" t="n">
        <v>19755</v>
      </c>
    </row>
    <row r="3" customFormat="false" ht="15" hidden="false" customHeight="true" outlineLevel="0" collapsed="false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n">
        <v>4</v>
      </c>
      <c r="H3" s="4" t="n">
        <v>3537.44</v>
      </c>
      <c r="I3" s="4" t="n">
        <v>14149.76</v>
      </c>
    </row>
    <row r="4" customFormat="false" ht="15" hidden="false" customHeight="true" outlineLevel="0" collapsed="false">
      <c r="A4" s="3" t="s">
        <v>21</v>
      </c>
      <c r="B4" s="3" t="s">
        <v>22</v>
      </c>
      <c r="C4" s="3" t="s">
        <v>17</v>
      </c>
      <c r="D4" s="3" t="s">
        <v>23</v>
      </c>
      <c r="E4" s="3" t="s">
        <v>19</v>
      </c>
      <c r="F4" s="3" t="s">
        <v>24</v>
      </c>
      <c r="G4" s="3" t="n">
        <v>4</v>
      </c>
      <c r="H4" s="4" t="n">
        <v>5831.26</v>
      </c>
      <c r="I4" s="4" t="n">
        <v>23325.04</v>
      </c>
    </row>
    <row r="5" customFormat="false" ht="15" hidden="false" customHeight="true" outlineLevel="0" collapsed="false">
      <c r="A5" s="3" t="s">
        <v>25</v>
      </c>
      <c r="B5" s="3" t="s">
        <v>22</v>
      </c>
      <c r="C5" s="3" t="s">
        <v>26</v>
      </c>
      <c r="D5" s="3" t="s">
        <v>12</v>
      </c>
      <c r="E5" s="3" t="s">
        <v>27</v>
      </c>
      <c r="F5" s="3" t="s">
        <v>28</v>
      </c>
      <c r="G5" s="3" t="n">
        <v>7</v>
      </c>
      <c r="H5" s="4" t="n">
        <v>206.95</v>
      </c>
      <c r="I5" s="4" t="n">
        <v>1448.65</v>
      </c>
    </row>
    <row r="6" customFormat="false" ht="15" hidden="false" customHeight="true" outlineLevel="0" collapsed="false">
      <c r="A6" s="3" t="s">
        <v>29</v>
      </c>
      <c r="B6" s="3" t="s">
        <v>30</v>
      </c>
      <c r="C6" s="3" t="s">
        <v>31</v>
      </c>
      <c r="D6" s="3" t="s">
        <v>12</v>
      </c>
      <c r="E6" s="3" t="s">
        <v>19</v>
      </c>
      <c r="F6" s="3" t="s">
        <v>24</v>
      </c>
      <c r="G6" s="3" t="n">
        <v>3</v>
      </c>
      <c r="H6" s="4" t="n">
        <v>737.97</v>
      </c>
      <c r="I6" s="4" t="n">
        <v>2213.91</v>
      </c>
    </row>
    <row r="7" customFormat="false" ht="15" hidden="false" customHeight="true" outlineLevel="0" collapsed="false">
      <c r="A7" s="3" t="s">
        <v>32</v>
      </c>
      <c r="B7" s="3" t="s">
        <v>33</v>
      </c>
      <c r="C7" s="3" t="s">
        <v>34</v>
      </c>
      <c r="D7" s="3" t="s">
        <v>35</v>
      </c>
      <c r="E7" s="3" t="s">
        <v>19</v>
      </c>
      <c r="F7" s="3" t="s">
        <v>20</v>
      </c>
      <c r="G7" s="3" t="n">
        <v>1</v>
      </c>
      <c r="H7" s="4" t="n">
        <v>5069.24</v>
      </c>
      <c r="I7" s="4" t="n">
        <v>5069.24</v>
      </c>
    </row>
    <row r="8" customFormat="false" ht="15" hidden="false" customHeight="true" outlineLevel="0" collapsed="false">
      <c r="A8" s="3" t="s">
        <v>36</v>
      </c>
      <c r="B8" s="3" t="s">
        <v>37</v>
      </c>
      <c r="C8" s="3" t="s">
        <v>38</v>
      </c>
      <c r="D8" s="3" t="s">
        <v>12</v>
      </c>
      <c r="E8" s="3" t="s">
        <v>13</v>
      </c>
      <c r="F8" s="3" t="s">
        <v>39</v>
      </c>
      <c r="G8" s="3" t="n">
        <v>2</v>
      </c>
      <c r="H8" s="4" t="n">
        <v>1625.76</v>
      </c>
      <c r="I8" s="4" t="n">
        <v>3251.52</v>
      </c>
    </row>
    <row r="9" customFormat="false" ht="15" hidden="false" customHeight="true" outlineLevel="0" collapsed="false">
      <c r="A9" s="3" t="s">
        <v>40</v>
      </c>
      <c r="B9" s="3" t="s">
        <v>41</v>
      </c>
      <c r="C9" s="3" t="s">
        <v>42</v>
      </c>
      <c r="D9" s="3" t="s">
        <v>23</v>
      </c>
      <c r="E9" s="3" t="s">
        <v>13</v>
      </c>
      <c r="F9" s="3" t="s">
        <v>14</v>
      </c>
      <c r="G9" s="3" t="n">
        <v>1</v>
      </c>
      <c r="H9" s="4" t="n">
        <v>5602.31</v>
      </c>
      <c r="I9" s="4" t="n">
        <v>5602.31</v>
      </c>
    </row>
    <row r="10" customFormat="false" ht="15" hidden="false" customHeight="true" outlineLevel="0" collapsed="false">
      <c r="A10" s="3" t="s">
        <v>43</v>
      </c>
      <c r="B10" s="3" t="s">
        <v>41</v>
      </c>
      <c r="C10" s="3" t="s">
        <v>44</v>
      </c>
      <c r="D10" s="3" t="s">
        <v>12</v>
      </c>
      <c r="E10" s="3" t="s">
        <v>19</v>
      </c>
      <c r="F10" s="3" t="s">
        <v>24</v>
      </c>
      <c r="G10" s="3" t="n">
        <v>2</v>
      </c>
      <c r="H10" s="4" t="n">
        <v>6430.95</v>
      </c>
      <c r="I10" s="4" t="n">
        <v>12861.9</v>
      </c>
    </row>
    <row r="11" customFormat="false" ht="15" hidden="false" customHeight="true" outlineLevel="0" collapsed="false">
      <c r="A11" s="3" t="s">
        <v>45</v>
      </c>
      <c r="B11" s="3" t="s">
        <v>46</v>
      </c>
      <c r="C11" s="3" t="s">
        <v>47</v>
      </c>
      <c r="D11" s="3" t="s">
        <v>18</v>
      </c>
      <c r="E11" s="3" t="s">
        <v>13</v>
      </c>
      <c r="F11" s="3" t="s">
        <v>48</v>
      </c>
      <c r="G11" s="3" t="n">
        <v>7</v>
      </c>
      <c r="H11" s="4" t="n">
        <v>14470.63</v>
      </c>
      <c r="I11" s="4" t="n">
        <v>101294.41</v>
      </c>
    </row>
    <row r="12" customFormat="false" ht="15" hidden="false" customHeight="true" outlineLevel="0" collapsed="false">
      <c r="A12" s="3" t="s">
        <v>49</v>
      </c>
      <c r="B12" s="3" t="s">
        <v>50</v>
      </c>
      <c r="C12" s="3" t="s">
        <v>51</v>
      </c>
      <c r="D12" s="3" t="s">
        <v>18</v>
      </c>
      <c r="E12" s="3" t="s">
        <v>19</v>
      </c>
      <c r="F12" s="3" t="s">
        <v>24</v>
      </c>
      <c r="G12" s="3" t="n">
        <v>5</v>
      </c>
      <c r="H12" s="4" t="n">
        <v>7474.52</v>
      </c>
      <c r="I12" s="4" t="n">
        <v>37372.6</v>
      </c>
    </row>
    <row r="13" customFormat="false" ht="15" hidden="false" customHeight="true" outlineLevel="0" collapsed="false">
      <c r="A13" s="3" t="s">
        <v>52</v>
      </c>
      <c r="B13" s="3" t="s">
        <v>53</v>
      </c>
      <c r="C13" s="3" t="s">
        <v>54</v>
      </c>
      <c r="D13" s="3" t="s">
        <v>12</v>
      </c>
      <c r="E13" s="3" t="s">
        <v>19</v>
      </c>
      <c r="F13" s="3" t="s">
        <v>55</v>
      </c>
      <c r="G13" s="3" t="n">
        <v>1</v>
      </c>
      <c r="H13" s="4" t="n">
        <v>7612.01</v>
      </c>
      <c r="I13" s="4" t="n">
        <v>7612.01</v>
      </c>
    </row>
    <row r="14" customFormat="false" ht="15" hidden="false" customHeight="true" outlineLevel="0" collapsed="false">
      <c r="A14" s="3" t="s">
        <v>56</v>
      </c>
      <c r="B14" s="3" t="s">
        <v>57</v>
      </c>
      <c r="C14" s="3" t="s">
        <v>58</v>
      </c>
      <c r="D14" s="3" t="s">
        <v>23</v>
      </c>
      <c r="E14" s="3" t="s">
        <v>19</v>
      </c>
      <c r="F14" s="3" t="s">
        <v>59</v>
      </c>
      <c r="G14" s="3" t="n">
        <v>5</v>
      </c>
      <c r="H14" s="4" t="n">
        <v>5435.08</v>
      </c>
      <c r="I14" s="4" t="n">
        <v>27175.4</v>
      </c>
    </row>
    <row r="15" customFormat="false" ht="15" hidden="false" customHeight="true" outlineLevel="0" collapsed="false">
      <c r="A15" s="3" t="s">
        <v>60</v>
      </c>
      <c r="B15" s="3" t="s">
        <v>61</v>
      </c>
      <c r="C15" s="3" t="s">
        <v>11</v>
      </c>
      <c r="D15" s="3" t="s">
        <v>35</v>
      </c>
      <c r="E15" s="3" t="s">
        <v>13</v>
      </c>
      <c r="F15" s="3" t="s">
        <v>62</v>
      </c>
      <c r="G15" s="3" t="n">
        <v>4</v>
      </c>
      <c r="H15" s="4" t="n">
        <v>2773.4</v>
      </c>
      <c r="I15" s="4" t="n">
        <v>11093.6</v>
      </c>
    </row>
    <row r="16" customFormat="false" ht="15" hidden="false" customHeight="true" outlineLevel="0" collapsed="false">
      <c r="A16" s="3" t="s">
        <v>63</v>
      </c>
      <c r="B16" s="3" t="s">
        <v>64</v>
      </c>
      <c r="C16" s="3" t="s">
        <v>65</v>
      </c>
      <c r="D16" s="3" t="s">
        <v>12</v>
      </c>
      <c r="E16" s="3" t="s">
        <v>27</v>
      </c>
      <c r="F16" s="3" t="s">
        <v>28</v>
      </c>
      <c r="G16" s="3" t="n">
        <v>8</v>
      </c>
      <c r="H16" s="4" t="n">
        <v>63.64</v>
      </c>
      <c r="I16" s="4" t="n">
        <v>509.12</v>
      </c>
    </row>
    <row r="17" customFormat="false" ht="15" hidden="false" customHeight="true" outlineLevel="0" collapsed="false">
      <c r="A17" s="3" t="s">
        <v>66</v>
      </c>
      <c r="B17" s="3" t="s">
        <v>67</v>
      </c>
      <c r="C17" s="3" t="s">
        <v>68</v>
      </c>
      <c r="D17" s="3" t="s">
        <v>18</v>
      </c>
      <c r="E17" s="3" t="s">
        <v>19</v>
      </c>
      <c r="F17" s="3" t="s">
        <v>69</v>
      </c>
      <c r="G17" s="3" t="n">
        <v>8</v>
      </c>
      <c r="H17" s="4" t="n">
        <v>1491.94</v>
      </c>
      <c r="I17" s="4" t="n">
        <v>11935.52</v>
      </c>
    </row>
    <row r="18" customFormat="false" ht="15" hidden="false" customHeight="true" outlineLevel="0" collapsed="false">
      <c r="A18" s="3" t="s">
        <v>70</v>
      </c>
      <c r="B18" s="3" t="s">
        <v>67</v>
      </c>
      <c r="C18" s="3" t="s">
        <v>71</v>
      </c>
      <c r="D18" s="3" t="s">
        <v>12</v>
      </c>
      <c r="E18" s="3" t="s">
        <v>13</v>
      </c>
      <c r="F18" s="3" t="s">
        <v>39</v>
      </c>
      <c r="G18" s="3" t="n">
        <v>3</v>
      </c>
      <c r="H18" s="4" t="n">
        <v>4406.74</v>
      </c>
      <c r="I18" s="4" t="n">
        <v>13220.22</v>
      </c>
    </row>
    <row r="19" customFormat="false" ht="15" hidden="false" customHeight="true" outlineLevel="0" collapsed="false">
      <c r="A19" s="3" t="s">
        <v>72</v>
      </c>
      <c r="B19" s="3" t="s">
        <v>67</v>
      </c>
      <c r="C19" s="3" t="s">
        <v>51</v>
      </c>
      <c r="D19" s="3" t="s">
        <v>12</v>
      </c>
      <c r="E19" s="3" t="s">
        <v>13</v>
      </c>
      <c r="F19" s="3" t="s">
        <v>62</v>
      </c>
      <c r="G19" s="3" t="n">
        <v>1</v>
      </c>
      <c r="H19" s="4" t="n">
        <v>10590.42</v>
      </c>
      <c r="I19" s="4" t="n">
        <v>10590.42</v>
      </c>
    </row>
    <row r="20" customFormat="false" ht="15" hidden="false" customHeight="true" outlineLevel="0" collapsed="false">
      <c r="A20" s="3" t="s">
        <v>73</v>
      </c>
      <c r="B20" s="3" t="s">
        <v>74</v>
      </c>
      <c r="C20" s="3" t="s">
        <v>75</v>
      </c>
      <c r="D20" s="3" t="s">
        <v>18</v>
      </c>
      <c r="E20" s="3" t="s">
        <v>19</v>
      </c>
      <c r="F20" s="3" t="s">
        <v>69</v>
      </c>
      <c r="G20" s="3" t="n">
        <v>3</v>
      </c>
      <c r="H20" s="4" t="n">
        <v>4412.88</v>
      </c>
      <c r="I20" s="4" t="n">
        <v>13238.64</v>
      </c>
    </row>
    <row r="21" customFormat="false" ht="15" hidden="false" customHeight="true" outlineLevel="0" collapsed="false">
      <c r="A21" s="3" t="s">
        <v>76</v>
      </c>
      <c r="B21" s="3" t="s">
        <v>77</v>
      </c>
      <c r="C21" s="3" t="s">
        <v>75</v>
      </c>
      <c r="D21" s="3" t="s">
        <v>23</v>
      </c>
      <c r="E21" s="3" t="s">
        <v>27</v>
      </c>
      <c r="F21" s="3" t="s">
        <v>78</v>
      </c>
      <c r="G21" s="3" t="n">
        <v>2</v>
      </c>
      <c r="H21" s="4" t="n">
        <v>344.1</v>
      </c>
      <c r="I21" s="4" t="n">
        <v>688.2</v>
      </c>
    </row>
    <row r="22" customFormat="false" ht="15" hidden="false" customHeight="true" outlineLevel="0" collapsed="false">
      <c r="A22" s="3" t="s">
        <v>79</v>
      </c>
      <c r="B22" s="3" t="s">
        <v>80</v>
      </c>
      <c r="C22" s="3" t="s">
        <v>81</v>
      </c>
      <c r="D22" s="3" t="s">
        <v>35</v>
      </c>
      <c r="E22" s="3" t="s">
        <v>13</v>
      </c>
      <c r="F22" s="3" t="s">
        <v>39</v>
      </c>
      <c r="G22" s="3" t="n">
        <v>3</v>
      </c>
      <c r="H22" s="4" t="n">
        <v>7415.49</v>
      </c>
      <c r="I22" s="4" t="n">
        <v>22246.47</v>
      </c>
    </row>
    <row r="23" customFormat="false" ht="15" hidden="false" customHeight="true" outlineLevel="0" collapsed="false">
      <c r="A23" s="3" t="s">
        <v>82</v>
      </c>
      <c r="B23" s="3" t="s">
        <v>83</v>
      </c>
      <c r="C23" s="3" t="s">
        <v>68</v>
      </c>
      <c r="D23" s="3" t="s">
        <v>18</v>
      </c>
      <c r="E23" s="3" t="s">
        <v>19</v>
      </c>
      <c r="F23" s="3" t="s">
        <v>20</v>
      </c>
      <c r="G23" s="3" t="n">
        <v>5</v>
      </c>
      <c r="H23" s="4" t="n">
        <v>3687.02</v>
      </c>
      <c r="I23" s="4" t="n">
        <v>18435.1</v>
      </c>
    </row>
    <row r="24" customFormat="false" ht="15" hidden="false" customHeight="true" outlineLevel="0" collapsed="false">
      <c r="A24" s="3" t="s">
        <v>84</v>
      </c>
      <c r="B24" s="3" t="s">
        <v>85</v>
      </c>
      <c r="C24" s="3" t="s">
        <v>86</v>
      </c>
      <c r="D24" s="3" t="s">
        <v>12</v>
      </c>
      <c r="E24" s="3" t="s">
        <v>19</v>
      </c>
      <c r="F24" s="3" t="s">
        <v>20</v>
      </c>
      <c r="G24" s="3" t="n">
        <v>5</v>
      </c>
      <c r="H24" s="4" t="n">
        <v>1319.92</v>
      </c>
      <c r="I24" s="4" t="n">
        <v>6599.6</v>
      </c>
    </row>
    <row r="25" customFormat="false" ht="15" hidden="false" customHeight="true" outlineLevel="0" collapsed="false">
      <c r="A25" s="3" t="s">
        <v>87</v>
      </c>
      <c r="B25" s="3" t="s">
        <v>88</v>
      </c>
      <c r="C25" s="3" t="s">
        <v>89</v>
      </c>
      <c r="D25" s="3" t="s">
        <v>23</v>
      </c>
      <c r="E25" s="3" t="s">
        <v>19</v>
      </c>
      <c r="F25" s="3" t="s">
        <v>90</v>
      </c>
      <c r="G25" s="3" t="n">
        <v>3</v>
      </c>
      <c r="H25" s="4" t="n">
        <v>2340.94</v>
      </c>
      <c r="I25" s="4" t="n">
        <v>7022.82</v>
      </c>
    </row>
    <row r="26" customFormat="false" ht="15" hidden="false" customHeight="true" outlineLevel="0" collapsed="false">
      <c r="A26" s="3" t="s">
        <v>91</v>
      </c>
      <c r="B26" s="3" t="s">
        <v>92</v>
      </c>
      <c r="C26" s="3" t="s">
        <v>93</v>
      </c>
      <c r="D26" s="3" t="s">
        <v>35</v>
      </c>
      <c r="E26" s="3" t="s">
        <v>27</v>
      </c>
      <c r="F26" s="3" t="s">
        <v>94</v>
      </c>
      <c r="G26" s="3" t="n">
        <v>5</v>
      </c>
      <c r="H26" s="4" t="n">
        <v>195.03</v>
      </c>
      <c r="I26" s="4" t="n">
        <v>975.15</v>
      </c>
    </row>
    <row r="27" customFormat="false" ht="15" hidden="false" customHeight="true" outlineLevel="0" collapsed="false">
      <c r="A27" s="3" t="s">
        <v>95</v>
      </c>
      <c r="B27" s="3" t="s">
        <v>96</v>
      </c>
      <c r="C27" s="3" t="s">
        <v>97</v>
      </c>
      <c r="D27" s="3" t="s">
        <v>12</v>
      </c>
      <c r="E27" s="3" t="s">
        <v>19</v>
      </c>
      <c r="F27" s="3" t="s">
        <v>24</v>
      </c>
      <c r="G27" s="3" t="n">
        <v>4</v>
      </c>
      <c r="H27" s="4" t="n">
        <v>4830.99</v>
      </c>
      <c r="I27" s="4" t="n">
        <v>19323.96</v>
      </c>
    </row>
    <row r="28" customFormat="false" ht="15" hidden="false" customHeight="true" outlineLevel="0" collapsed="false">
      <c r="A28" s="3" t="s">
        <v>98</v>
      </c>
      <c r="B28" s="3" t="s">
        <v>99</v>
      </c>
      <c r="C28" s="3" t="s">
        <v>86</v>
      </c>
      <c r="D28" s="3" t="s">
        <v>18</v>
      </c>
      <c r="E28" s="3" t="s">
        <v>13</v>
      </c>
      <c r="F28" s="3" t="s">
        <v>48</v>
      </c>
      <c r="G28" s="3" t="n">
        <v>1</v>
      </c>
      <c r="H28" s="4" t="n">
        <v>14998.76</v>
      </c>
      <c r="I28" s="4" t="n">
        <v>14998.76</v>
      </c>
    </row>
    <row r="29" customFormat="false" ht="15" hidden="false" customHeight="true" outlineLevel="0" collapsed="false">
      <c r="A29" s="3" t="s">
        <v>100</v>
      </c>
      <c r="B29" s="3" t="s">
        <v>101</v>
      </c>
      <c r="C29" s="3" t="s">
        <v>71</v>
      </c>
      <c r="D29" s="3" t="s">
        <v>35</v>
      </c>
      <c r="E29" s="3" t="s">
        <v>13</v>
      </c>
      <c r="F29" s="3" t="s">
        <v>62</v>
      </c>
      <c r="G29" s="3" t="n">
        <v>2</v>
      </c>
      <c r="H29" s="4" t="n">
        <v>14309.81</v>
      </c>
      <c r="I29" s="4" t="n">
        <v>28619.62</v>
      </c>
    </row>
    <row r="30" customFormat="false" ht="15" hidden="false" customHeight="true" outlineLevel="0" collapsed="false">
      <c r="A30" s="3" t="s">
        <v>102</v>
      </c>
      <c r="B30" s="3" t="s">
        <v>103</v>
      </c>
      <c r="C30" s="3" t="s">
        <v>81</v>
      </c>
      <c r="D30" s="3" t="s">
        <v>23</v>
      </c>
      <c r="E30" s="3" t="s">
        <v>27</v>
      </c>
      <c r="F30" s="3" t="s">
        <v>104</v>
      </c>
      <c r="G30" s="3" t="n">
        <v>5</v>
      </c>
      <c r="H30" s="4" t="n">
        <v>315.64</v>
      </c>
      <c r="I30" s="4" t="n">
        <v>1578.2</v>
      </c>
    </row>
    <row r="31" customFormat="false" ht="15" hidden="false" customHeight="true" outlineLevel="0" collapsed="false">
      <c r="A31" s="3" t="s">
        <v>105</v>
      </c>
      <c r="B31" s="3" t="s">
        <v>106</v>
      </c>
      <c r="C31" s="3" t="s">
        <v>107</v>
      </c>
      <c r="D31" s="3" t="s">
        <v>23</v>
      </c>
      <c r="E31" s="3" t="s">
        <v>27</v>
      </c>
      <c r="F31" s="3" t="s">
        <v>28</v>
      </c>
      <c r="G31" s="3" t="n">
        <v>8</v>
      </c>
      <c r="H31" s="4" t="n">
        <v>313.41</v>
      </c>
      <c r="I31" s="4" t="n">
        <v>2507.28</v>
      </c>
    </row>
    <row r="32" customFormat="false" ht="15" hidden="false" customHeight="true" outlineLevel="0" collapsed="false">
      <c r="A32" s="3" t="s">
        <v>108</v>
      </c>
      <c r="B32" s="3" t="s">
        <v>106</v>
      </c>
      <c r="C32" s="3" t="s">
        <v>34</v>
      </c>
      <c r="D32" s="3" t="s">
        <v>18</v>
      </c>
      <c r="E32" s="3" t="s">
        <v>27</v>
      </c>
      <c r="F32" s="3" t="s">
        <v>104</v>
      </c>
      <c r="G32" s="3" t="n">
        <v>6</v>
      </c>
      <c r="H32" s="4" t="n">
        <v>395.55</v>
      </c>
      <c r="I32" s="4" t="n">
        <v>2373.3</v>
      </c>
    </row>
    <row r="33" customFormat="false" ht="15" hidden="false" customHeight="true" outlineLevel="0" collapsed="false">
      <c r="A33" s="3" t="s">
        <v>109</v>
      </c>
      <c r="B33" s="3" t="s">
        <v>106</v>
      </c>
      <c r="C33" s="3" t="s">
        <v>107</v>
      </c>
      <c r="D33" s="3" t="s">
        <v>35</v>
      </c>
      <c r="E33" s="3" t="s">
        <v>19</v>
      </c>
      <c r="F33" s="3" t="s">
        <v>20</v>
      </c>
      <c r="G33" s="3" t="n">
        <v>7</v>
      </c>
      <c r="H33" s="4" t="n">
        <v>2827.62</v>
      </c>
      <c r="I33" s="4" t="n">
        <v>19793.34</v>
      </c>
    </row>
    <row r="34" customFormat="false" ht="15" hidden="false" customHeight="true" outlineLevel="0" collapsed="false">
      <c r="A34" s="3" t="s">
        <v>110</v>
      </c>
      <c r="B34" s="3" t="s">
        <v>111</v>
      </c>
      <c r="C34" s="3" t="s">
        <v>81</v>
      </c>
      <c r="D34" s="3" t="s">
        <v>18</v>
      </c>
      <c r="E34" s="3" t="s">
        <v>19</v>
      </c>
      <c r="F34" s="3" t="s">
        <v>90</v>
      </c>
      <c r="G34" s="3" t="n">
        <v>2</v>
      </c>
      <c r="H34" s="4" t="n">
        <v>7830.48</v>
      </c>
      <c r="I34" s="4" t="n">
        <v>15660.96</v>
      </c>
    </row>
    <row r="35" customFormat="false" ht="15" hidden="false" customHeight="true" outlineLevel="0" collapsed="false">
      <c r="A35" s="3" t="s">
        <v>112</v>
      </c>
      <c r="B35" s="3" t="s">
        <v>113</v>
      </c>
      <c r="C35" s="3" t="s">
        <v>107</v>
      </c>
      <c r="D35" s="3" t="s">
        <v>23</v>
      </c>
      <c r="E35" s="3" t="s">
        <v>13</v>
      </c>
      <c r="F35" s="3" t="s">
        <v>114</v>
      </c>
      <c r="G35" s="3" t="n">
        <v>5</v>
      </c>
      <c r="H35" s="4" t="n">
        <v>7745.48</v>
      </c>
      <c r="I35" s="4" t="n">
        <v>38727.4</v>
      </c>
    </row>
    <row r="36" customFormat="false" ht="15" hidden="false" customHeight="true" outlineLevel="0" collapsed="false">
      <c r="A36" s="3" t="s">
        <v>115</v>
      </c>
      <c r="B36" s="3" t="s">
        <v>116</v>
      </c>
      <c r="C36" s="3" t="s">
        <v>107</v>
      </c>
      <c r="D36" s="3" t="s">
        <v>35</v>
      </c>
      <c r="E36" s="3" t="s">
        <v>19</v>
      </c>
      <c r="F36" s="3" t="s">
        <v>90</v>
      </c>
      <c r="G36" s="3" t="n">
        <v>2</v>
      </c>
      <c r="H36" s="4" t="n">
        <v>2208.87</v>
      </c>
      <c r="I36" s="4" t="n">
        <v>4417.74</v>
      </c>
    </row>
    <row r="37" customFormat="false" ht="15" hidden="false" customHeight="true" outlineLevel="0" collapsed="false">
      <c r="A37" s="3" t="s">
        <v>117</v>
      </c>
      <c r="B37" s="3" t="s">
        <v>118</v>
      </c>
      <c r="C37" s="3" t="s">
        <v>11</v>
      </c>
      <c r="D37" s="3" t="s">
        <v>18</v>
      </c>
      <c r="E37" s="3" t="s">
        <v>13</v>
      </c>
      <c r="F37" s="3" t="s">
        <v>14</v>
      </c>
      <c r="G37" s="3" t="n">
        <v>1</v>
      </c>
      <c r="H37" s="4" t="n">
        <v>2633.29</v>
      </c>
      <c r="I37" s="4" t="n">
        <v>2633.29</v>
      </c>
    </row>
    <row r="38" customFormat="false" ht="15" hidden="false" customHeight="true" outlineLevel="0" collapsed="false">
      <c r="A38" s="3" t="s">
        <v>119</v>
      </c>
      <c r="B38" s="3" t="s">
        <v>120</v>
      </c>
      <c r="C38" s="3" t="s">
        <v>42</v>
      </c>
      <c r="D38" s="3" t="s">
        <v>18</v>
      </c>
      <c r="E38" s="3" t="s">
        <v>19</v>
      </c>
      <c r="F38" s="3" t="s">
        <v>90</v>
      </c>
      <c r="G38" s="3" t="n">
        <v>1</v>
      </c>
      <c r="H38" s="4" t="n">
        <v>529.44</v>
      </c>
      <c r="I38" s="4" t="n">
        <v>529.44</v>
      </c>
    </row>
    <row r="39" customFormat="false" ht="15" hidden="false" customHeight="true" outlineLevel="0" collapsed="false">
      <c r="A39" s="3" t="s">
        <v>121</v>
      </c>
      <c r="B39" s="3" t="s">
        <v>122</v>
      </c>
      <c r="C39" s="3" t="s">
        <v>123</v>
      </c>
      <c r="D39" s="3" t="s">
        <v>18</v>
      </c>
      <c r="E39" s="3" t="s">
        <v>27</v>
      </c>
      <c r="F39" s="3" t="s">
        <v>104</v>
      </c>
      <c r="G39" s="3" t="n">
        <v>6</v>
      </c>
      <c r="H39" s="4" t="n">
        <v>134.57</v>
      </c>
      <c r="I39" s="4" t="n">
        <v>807.42</v>
      </c>
    </row>
    <row r="40" customFormat="false" ht="15" hidden="false" customHeight="true" outlineLevel="0" collapsed="false">
      <c r="A40" s="3" t="s">
        <v>124</v>
      </c>
      <c r="B40" s="3" t="s">
        <v>125</v>
      </c>
      <c r="C40" s="3" t="s">
        <v>31</v>
      </c>
      <c r="D40" s="3" t="s">
        <v>23</v>
      </c>
      <c r="E40" s="3" t="s">
        <v>13</v>
      </c>
      <c r="F40" s="3" t="s">
        <v>62</v>
      </c>
      <c r="G40" s="3" t="n">
        <v>8</v>
      </c>
      <c r="H40" s="4" t="n">
        <v>10620.97</v>
      </c>
      <c r="I40" s="4" t="n">
        <v>84967.76</v>
      </c>
    </row>
    <row r="41" customFormat="false" ht="15" hidden="false" customHeight="true" outlineLevel="0" collapsed="false">
      <c r="A41" s="3" t="s">
        <v>126</v>
      </c>
      <c r="B41" s="3" t="s">
        <v>127</v>
      </c>
      <c r="C41" s="3" t="s">
        <v>17</v>
      </c>
      <c r="D41" s="3" t="s">
        <v>23</v>
      </c>
      <c r="E41" s="3" t="s">
        <v>13</v>
      </c>
      <c r="F41" s="3" t="s">
        <v>48</v>
      </c>
      <c r="G41" s="3" t="n">
        <v>6</v>
      </c>
      <c r="H41" s="4" t="n">
        <v>5531.27</v>
      </c>
      <c r="I41" s="4" t="n">
        <v>33187.62</v>
      </c>
    </row>
    <row r="42" customFormat="false" ht="15" hidden="false" customHeight="true" outlineLevel="0" collapsed="false">
      <c r="A42" s="3" t="s">
        <v>128</v>
      </c>
      <c r="B42" s="3" t="s">
        <v>127</v>
      </c>
      <c r="C42" s="3" t="s">
        <v>47</v>
      </c>
      <c r="D42" s="3" t="s">
        <v>35</v>
      </c>
      <c r="E42" s="3" t="s">
        <v>27</v>
      </c>
      <c r="F42" s="3" t="s">
        <v>129</v>
      </c>
      <c r="G42" s="3" t="n">
        <v>5</v>
      </c>
      <c r="H42" s="4" t="n">
        <v>464.73</v>
      </c>
      <c r="I42" s="4" t="n">
        <v>2323.65</v>
      </c>
    </row>
    <row r="43" customFormat="false" ht="15" hidden="false" customHeight="true" outlineLevel="0" collapsed="false">
      <c r="A43" s="3" t="s">
        <v>130</v>
      </c>
      <c r="B43" s="3" t="s">
        <v>131</v>
      </c>
      <c r="C43" s="3" t="s">
        <v>132</v>
      </c>
      <c r="D43" s="3" t="s">
        <v>18</v>
      </c>
      <c r="E43" s="3" t="s">
        <v>27</v>
      </c>
      <c r="F43" s="3" t="s">
        <v>78</v>
      </c>
      <c r="G43" s="3" t="n">
        <v>2</v>
      </c>
      <c r="H43" s="4" t="n">
        <v>437.85</v>
      </c>
      <c r="I43" s="4" t="n">
        <v>875.7</v>
      </c>
    </row>
    <row r="44" customFormat="false" ht="15" hidden="false" customHeight="true" outlineLevel="0" collapsed="false">
      <c r="A44" s="3" t="s">
        <v>133</v>
      </c>
      <c r="B44" s="3" t="s">
        <v>134</v>
      </c>
      <c r="C44" s="3" t="s">
        <v>135</v>
      </c>
      <c r="D44" s="3" t="s">
        <v>12</v>
      </c>
      <c r="E44" s="3" t="s">
        <v>27</v>
      </c>
      <c r="F44" s="3" t="s">
        <v>136</v>
      </c>
      <c r="G44" s="3" t="n">
        <v>3</v>
      </c>
      <c r="H44" s="4" t="n">
        <v>298.68</v>
      </c>
      <c r="I44" s="4" t="n">
        <v>896.04</v>
      </c>
    </row>
    <row r="45" customFormat="false" ht="15" hidden="false" customHeight="true" outlineLevel="0" collapsed="false">
      <c r="A45" s="3" t="s">
        <v>137</v>
      </c>
      <c r="B45" s="3" t="s">
        <v>134</v>
      </c>
      <c r="C45" s="3" t="s">
        <v>86</v>
      </c>
      <c r="D45" s="3" t="s">
        <v>35</v>
      </c>
      <c r="E45" s="3" t="s">
        <v>13</v>
      </c>
      <c r="F45" s="3" t="s">
        <v>39</v>
      </c>
      <c r="G45" s="3" t="n">
        <v>3</v>
      </c>
      <c r="H45" s="4" t="n">
        <v>8081.92</v>
      </c>
      <c r="I45" s="4" t="n">
        <v>24245.76</v>
      </c>
    </row>
    <row r="46" customFormat="false" ht="15" hidden="false" customHeight="true" outlineLevel="0" collapsed="false">
      <c r="A46" s="3" t="s">
        <v>138</v>
      </c>
      <c r="B46" s="3" t="s">
        <v>139</v>
      </c>
      <c r="C46" s="3" t="s">
        <v>11</v>
      </c>
      <c r="D46" s="3" t="s">
        <v>12</v>
      </c>
      <c r="E46" s="3" t="s">
        <v>27</v>
      </c>
      <c r="F46" s="3" t="s">
        <v>104</v>
      </c>
      <c r="G46" s="3" t="n">
        <v>8</v>
      </c>
      <c r="H46" s="4" t="n">
        <v>284.81</v>
      </c>
      <c r="I46" s="4" t="n">
        <v>2278.48</v>
      </c>
    </row>
    <row r="47" customFormat="false" ht="15" hidden="false" customHeight="true" outlineLevel="0" collapsed="false">
      <c r="A47" s="3" t="s">
        <v>140</v>
      </c>
      <c r="B47" s="3" t="s">
        <v>141</v>
      </c>
      <c r="C47" s="3" t="s">
        <v>142</v>
      </c>
      <c r="D47" s="3" t="s">
        <v>23</v>
      </c>
      <c r="E47" s="3" t="s">
        <v>19</v>
      </c>
      <c r="F47" s="3" t="s">
        <v>69</v>
      </c>
      <c r="G47" s="3" t="n">
        <v>7</v>
      </c>
      <c r="H47" s="4" t="n">
        <v>6695.38</v>
      </c>
      <c r="I47" s="4" t="n">
        <v>46867.66</v>
      </c>
    </row>
    <row r="48" customFormat="false" ht="15" hidden="false" customHeight="true" outlineLevel="0" collapsed="false">
      <c r="A48" s="3" t="s">
        <v>143</v>
      </c>
      <c r="B48" s="3" t="s">
        <v>144</v>
      </c>
      <c r="C48" s="3" t="s">
        <v>11</v>
      </c>
      <c r="D48" s="3" t="s">
        <v>23</v>
      </c>
      <c r="E48" s="3" t="s">
        <v>27</v>
      </c>
      <c r="F48" s="3" t="s">
        <v>28</v>
      </c>
      <c r="G48" s="3" t="n">
        <v>5</v>
      </c>
      <c r="H48" s="4" t="n">
        <v>378.57</v>
      </c>
      <c r="I48" s="4" t="n">
        <v>1892.85</v>
      </c>
    </row>
    <row r="49" customFormat="false" ht="15" hidden="false" customHeight="true" outlineLevel="0" collapsed="false">
      <c r="A49" s="3" t="s">
        <v>145</v>
      </c>
      <c r="B49" s="3" t="s">
        <v>144</v>
      </c>
      <c r="C49" s="3" t="s">
        <v>89</v>
      </c>
      <c r="D49" s="3" t="s">
        <v>18</v>
      </c>
      <c r="E49" s="3" t="s">
        <v>27</v>
      </c>
      <c r="F49" s="3" t="s">
        <v>94</v>
      </c>
      <c r="G49" s="3" t="n">
        <v>3</v>
      </c>
      <c r="H49" s="4" t="n">
        <v>150.73</v>
      </c>
      <c r="I49" s="4" t="n">
        <v>452.19</v>
      </c>
    </row>
    <row r="50" customFormat="false" ht="15" hidden="false" customHeight="true" outlineLevel="0" collapsed="false">
      <c r="A50" s="3" t="s">
        <v>146</v>
      </c>
      <c r="B50" s="3" t="s">
        <v>147</v>
      </c>
      <c r="C50" s="3" t="s">
        <v>81</v>
      </c>
      <c r="D50" s="3" t="s">
        <v>23</v>
      </c>
      <c r="E50" s="3" t="s">
        <v>19</v>
      </c>
      <c r="F50" s="3" t="s">
        <v>55</v>
      </c>
      <c r="G50" s="3" t="n">
        <v>4</v>
      </c>
      <c r="H50" s="4" t="n">
        <v>5813.35</v>
      </c>
      <c r="I50" s="4" t="n">
        <v>23253.4</v>
      </c>
    </row>
    <row r="51" customFormat="false" ht="15" hidden="false" customHeight="true" outlineLevel="0" collapsed="false">
      <c r="A51" s="3" t="s">
        <v>148</v>
      </c>
      <c r="B51" s="3" t="s">
        <v>149</v>
      </c>
      <c r="C51" s="3" t="s">
        <v>44</v>
      </c>
      <c r="D51" s="3" t="s">
        <v>35</v>
      </c>
      <c r="E51" s="3" t="s">
        <v>13</v>
      </c>
      <c r="F51" s="3" t="s">
        <v>62</v>
      </c>
      <c r="G51" s="3" t="n">
        <v>5</v>
      </c>
      <c r="H51" s="4" t="n">
        <v>2393.55</v>
      </c>
      <c r="I51" s="4" t="n">
        <v>11967.75</v>
      </c>
    </row>
    <row r="52" customFormat="false" ht="15" hidden="false" customHeight="true" outlineLevel="0" collapsed="false">
      <c r="A52" s="3" t="s">
        <v>150</v>
      </c>
      <c r="B52" s="3" t="s">
        <v>151</v>
      </c>
      <c r="C52" s="3" t="s">
        <v>89</v>
      </c>
      <c r="D52" s="3" t="s">
        <v>35</v>
      </c>
      <c r="E52" s="3" t="s">
        <v>13</v>
      </c>
      <c r="F52" s="3" t="s">
        <v>48</v>
      </c>
      <c r="G52" s="3" t="n">
        <v>6</v>
      </c>
      <c r="H52" s="4" t="n">
        <v>12941.17</v>
      </c>
      <c r="I52" s="4" t="n">
        <v>77647.02</v>
      </c>
    </row>
    <row r="53" customFormat="false" ht="15" hidden="false" customHeight="true" outlineLevel="0" collapsed="false">
      <c r="A53" s="3" t="s">
        <v>152</v>
      </c>
      <c r="B53" s="3" t="s">
        <v>151</v>
      </c>
      <c r="C53" s="3" t="s">
        <v>54</v>
      </c>
      <c r="D53" s="3" t="s">
        <v>18</v>
      </c>
      <c r="E53" s="3" t="s">
        <v>27</v>
      </c>
      <c r="F53" s="3" t="s">
        <v>104</v>
      </c>
      <c r="G53" s="3" t="n">
        <v>5</v>
      </c>
      <c r="H53" s="4" t="n">
        <v>127.83</v>
      </c>
      <c r="I53" s="4" t="n">
        <v>639.15</v>
      </c>
    </row>
    <row r="54" customFormat="false" ht="15" hidden="false" customHeight="true" outlineLevel="0" collapsed="false">
      <c r="A54" s="3" t="s">
        <v>153</v>
      </c>
      <c r="B54" s="3" t="s">
        <v>151</v>
      </c>
      <c r="C54" s="3" t="s">
        <v>71</v>
      </c>
      <c r="D54" s="3" t="s">
        <v>18</v>
      </c>
      <c r="E54" s="3" t="s">
        <v>19</v>
      </c>
      <c r="F54" s="3" t="s">
        <v>90</v>
      </c>
      <c r="G54" s="3" t="n">
        <v>5</v>
      </c>
      <c r="H54" s="4" t="n">
        <v>639.47</v>
      </c>
      <c r="I54" s="4" t="n">
        <v>3197.35</v>
      </c>
    </row>
    <row r="55" customFormat="false" ht="15" hidden="false" customHeight="true" outlineLevel="0" collapsed="false">
      <c r="A55" s="3" t="s">
        <v>154</v>
      </c>
      <c r="B55" s="3" t="s">
        <v>155</v>
      </c>
      <c r="C55" s="3" t="s">
        <v>93</v>
      </c>
      <c r="D55" s="3" t="s">
        <v>23</v>
      </c>
      <c r="E55" s="3" t="s">
        <v>27</v>
      </c>
      <c r="F55" s="3" t="s">
        <v>156</v>
      </c>
      <c r="G55" s="3" t="n">
        <v>2</v>
      </c>
      <c r="H55" s="4" t="n">
        <v>203.62</v>
      </c>
      <c r="I55" s="4" t="n">
        <v>407.24</v>
      </c>
    </row>
    <row r="56" customFormat="false" ht="15" hidden="false" customHeight="true" outlineLevel="0" collapsed="false">
      <c r="A56" s="3" t="s">
        <v>157</v>
      </c>
      <c r="B56" s="3" t="s">
        <v>158</v>
      </c>
      <c r="C56" s="3" t="s">
        <v>34</v>
      </c>
      <c r="D56" s="3" t="s">
        <v>35</v>
      </c>
      <c r="E56" s="3" t="s">
        <v>13</v>
      </c>
      <c r="F56" s="3" t="s">
        <v>62</v>
      </c>
      <c r="G56" s="3" t="n">
        <v>5</v>
      </c>
      <c r="H56" s="4" t="n">
        <v>11652.13</v>
      </c>
      <c r="I56" s="4" t="n">
        <v>58260.65</v>
      </c>
    </row>
    <row r="57" customFormat="false" ht="15" hidden="false" customHeight="true" outlineLevel="0" collapsed="false">
      <c r="A57" s="3" t="s">
        <v>159</v>
      </c>
      <c r="B57" s="3" t="s">
        <v>160</v>
      </c>
      <c r="C57" s="3" t="s">
        <v>142</v>
      </c>
      <c r="D57" s="3" t="s">
        <v>23</v>
      </c>
      <c r="E57" s="3" t="s">
        <v>19</v>
      </c>
      <c r="F57" s="3" t="s">
        <v>20</v>
      </c>
      <c r="G57" s="3" t="n">
        <v>2</v>
      </c>
      <c r="H57" s="4" t="n">
        <v>3023.33</v>
      </c>
      <c r="I57" s="4" t="n">
        <v>6046.66</v>
      </c>
    </row>
    <row r="58" customFormat="false" ht="15" hidden="false" customHeight="true" outlineLevel="0" collapsed="false">
      <c r="A58" s="3" t="s">
        <v>161</v>
      </c>
      <c r="B58" s="3" t="s">
        <v>162</v>
      </c>
      <c r="C58" s="3" t="s">
        <v>47</v>
      </c>
      <c r="D58" s="3" t="s">
        <v>18</v>
      </c>
      <c r="E58" s="3" t="s">
        <v>19</v>
      </c>
      <c r="F58" s="3" t="s">
        <v>90</v>
      </c>
      <c r="G58" s="3" t="n">
        <v>7</v>
      </c>
      <c r="H58" s="4" t="n">
        <v>7112.06</v>
      </c>
      <c r="I58" s="4" t="n">
        <v>49784.42</v>
      </c>
    </row>
    <row r="59" customFormat="false" ht="15" hidden="false" customHeight="true" outlineLevel="0" collapsed="false">
      <c r="A59" s="3" t="s">
        <v>163</v>
      </c>
      <c r="B59" s="3" t="s">
        <v>162</v>
      </c>
      <c r="C59" s="3" t="s">
        <v>123</v>
      </c>
      <c r="D59" s="3" t="s">
        <v>35</v>
      </c>
      <c r="E59" s="3" t="s">
        <v>19</v>
      </c>
      <c r="F59" s="3" t="s">
        <v>69</v>
      </c>
      <c r="G59" s="3" t="n">
        <v>4</v>
      </c>
      <c r="H59" s="4" t="n">
        <v>5789.71</v>
      </c>
      <c r="I59" s="4" t="n">
        <v>23158.84</v>
      </c>
    </row>
    <row r="60" customFormat="false" ht="15" hidden="false" customHeight="true" outlineLevel="0" collapsed="false">
      <c r="A60" s="3" t="s">
        <v>164</v>
      </c>
      <c r="B60" s="3" t="s">
        <v>165</v>
      </c>
      <c r="C60" s="3" t="s">
        <v>75</v>
      </c>
      <c r="D60" s="3" t="s">
        <v>18</v>
      </c>
      <c r="E60" s="3" t="s">
        <v>27</v>
      </c>
      <c r="F60" s="3" t="s">
        <v>104</v>
      </c>
      <c r="G60" s="3" t="n">
        <v>1</v>
      </c>
      <c r="H60" s="4" t="n">
        <v>485.12</v>
      </c>
      <c r="I60" s="4" t="n">
        <v>485.12</v>
      </c>
    </row>
    <row r="61" customFormat="false" ht="15" hidden="false" customHeight="true" outlineLevel="0" collapsed="false">
      <c r="A61" s="3" t="s">
        <v>166</v>
      </c>
      <c r="B61" s="3" t="s">
        <v>167</v>
      </c>
      <c r="C61" s="3" t="s">
        <v>44</v>
      </c>
      <c r="D61" s="3" t="s">
        <v>18</v>
      </c>
      <c r="E61" s="3" t="s">
        <v>27</v>
      </c>
      <c r="F61" s="3" t="s">
        <v>28</v>
      </c>
      <c r="G61" s="3" t="n">
        <v>8</v>
      </c>
      <c r="H61" s="4" t="n">
        <v>341.34</v>
      </c>
      <c r="I61" s="4" t="n">
        <v>2730.72</v>
      </c>
    </row>
    <row r="62" customFormat="false" ht="15" hidden="false" customHeight="true" outlineLevel="0" collapsed="false">
      <c r="A62" s="3" t="s">
        <v>168</v>
      </c>
      <c r="B62" s="3" t="s">
        <v>167</v>
      </c>
      <c r="C62" s="3" t="s">
        <v>169</v>
      </c>
      <c r="D62" s="3" t="s">
        <v>12</v>
      </c>
      <c r="E62" s="3" t="s">
        <v>13</v>
      </c>
      <c r="F62" s="3" t="s">
        <v>114</v>
      </c>
      <c r="G62" s="3" t="n">
        <v>1</v>
      </c>
      <c r="H62" s="4" t="n">
        <v>9585.75</v>
      </c>
      <c r="I62" s="4" t="n">
        <v>9585.75</v>
      </c>
    </row>
    <row r="63" customFormat="false" ht="15" hidden="false" customHeight="true" outlineLevel="0" collapsed="false">
      <c r="A63" s="3" t="s">
        <v>170</v>
      </c>
      <c r="B63" s="3" t="s">
        <v>167</v>
      </c>
      <c r="C63" s="3" t="s">
        <v>17</v>
      </c>
      <c r="D63" s="3" t="s">
        <v>23</v>
      </c>
      <c r="E63" s="3" t="s">
        <v>19</v>
      </c>
      <c r="F63" s="3" t="s">
        <v>20</v>
      </c>
      <c r="G63" s="3" t="n">
        <v>7</v>
      </c>
      <c r="H63" s="4" t="n">
        <v>4892.35</v>
      </c>
      <c r="I63" s="4" t="n">
        <v>34246.45</v>
      </c>
    </row>
    <row r="64" customFormat="false" ht="15" hidden="false" customHeight="true" outlineLevel="0" collapsed="false">
      <c r="A64" s="3" t="s">
        <v>171</v>
      </c>
      <c r="B64" s="3" t="s">
        <v>167</v>
      </c>
      <c r="C64" s="3" t="s">
        <v>71</v>
      </c>
      <c r="D64" s="3" t="s">
        <v>23</v>
      </c>
      <c r="E64" s="3" t="s">
        <v>19</v>
      </c>
      <c r="F64" s="3" t="s">
        <v>20</v>
      </c>
      <c r="G64" s="3" t="n">
        <v>2</v>
      </c>
      <c r="H64" s="4" t="n">
        <v>3494.48</v>
      </c>
      <c r="I64" s="4" t="n">
        <v>6988.96</v>
      </c>
    </row>
    <row r="65" customFormat="false" ht="15" hidden="false" customHeight="true" outlineLevel="0" collapsed="false">
      <c r="A65" s="3" t="s">
        <v>172</v>
      </c>
      <c r="B65" s="3" t="s">
        <v>173</v>
      </c>
      <c r="C65" s="3" t="s">
        <v>174</v>
      </c>
      <c r="D65" s="3" t="s">
        <v>23</v>
      </c>
      <c r="E65" s="3" t="s">
        <v>13</v>
      </c>
      <c r="F65" s="3" t="s">
        <v>39</v>
      </c>
      <c r="G65" s="3" t="n">
        <v>2</v>
      </c>
      <c r="H65" s="4" t="n">
        <v>3368.05</v>
      </c>
      <c r="I65" s="4" t="n">
        <v>6736.1</v>
      </c>
    </row>
    <row r="66" customFormat="false" ht="15" hidden="false" customHeight="true" outlineLevel="0" collapsed="false">
      <c r="A66" s="3" t="s">
        <v>175</v>
      </c>
      <c r="B66" s="3" t="s">
        <v>176</v>
      </c>
      <c r="C66" s="3" t="s">
        <v>177</v>
      </c>
      <c r="D66" s="3" t="s">
        <v>23</v>
      </c>
      <c r="E66" s="3" t="s">
        <v>27</v>
      </c>
      <c r="F66" s="3" t="s">
        <v>156</v>
      </c>
      <c r="G66" s="3" t="n">
        <v>3</v>
      </c>
      <c r="H66" s="4" t="n">
        <v>488.58</v>
      </c>
      <c r="I66" s="4" t="n">
        <v>1465.74</v>
      </c>
    </row>
    <row r="67" customFormat="false" ht="15" hidden="false" customHeight="true" outlineLevel="0" collapsed="false">
      <c r="A67" s="3" t="s">
        <v>178</v>
      </c>
      <c r="B67" s="3" t="s">
        <v>179</v>
      </c>
      <c r="C67" s="3" t="s">
        <v>42</v>
      </c>
      <c r="D67" s="3" t="s">
        <v>35</v>
      </c>
      <c r="E67" s="3" t="s">
        <v>19</v>
      </c>
      <c r="F67" s="3" t="s">
        <v>59</v>
      </c>
      <c r="G67" s="3" t="n">
        <v>3</v>
      </c>
      <c r="H67" s="4" t="n">
        <v>3150.39</v>
      </c>
      <c r="I67" s="4" t="n">
        <v>9451.17</v>
      </c>
    </row>
    <row r="68" customFormat="false" ht="15" hidden="false" customHeight="true" outlineLevel="0" collapsed="false">
      <c r="A68" s="3" t="s">
        <v>180</v>
      </c>
      <c r="B68" s="3" t="s">
        <v>181</v>
      </c>
      <c r="C68" s="3" t="s">
        <v>47</v>
      </c>
      <c r="D68" s="3" t="s">
        <v>18</v>
      </c>
      <c r="E68" s="3" t="s">
        <v>19</v>
      </c>
      <c r="F68" s="3" t="s">
        <v>69</v>
      </c>
      <c r="G68" s="3" t="n">
        <v>7</v>
      </c>
      <c r="H68" s="4" t="n">
        <v>5876.2</v>
      </c>
      <c r="I68" s="4" t="n">
        <v>41133.4</v>
      </c>
    </row>
    <row r="69" customFormat="false" ht="15" hidden="false" customHeight="true" outlineLevel="0" collapsed="false">
      <c r="A69" s="3" t="s">
        <v>182</v>
      </c>
      <c r="B69" s="3" t="s">
        <v>183</v>
      </c>
      <c r="C69" s="3" t="s">
        <v>142</v>
      </c>
      <c r="D69" s="3" t="s">
        <v>35</v>
      </c>
      <c r="E69" s="3" t="s">
        <v>27</v>
      </c>
      <c r="F69" s="3" t="s">
        <v>156</v>
      </c>
      <c r="G69" s="3" t="n">
        <v>8</v>
      </c>
      <c r="H69" s="4" t="n">
        <v>340.44</v>
      </c>
      <c r="I69" s="4" t="n">
        <v>2723.52</v>
      </c>
    </row>
    <row r="70" customFormat="false" ht="15" hidden="false" customHeight="true" outlineLevel="0" collapsed="false">
      <c r="A70" s="3" t="s">
        <v>184</v>
      </c>
      <c r="B70" s="3" t="s">
        <v>185</v>
      </c>
      <c r="C70" s="3" t="s">
        <v>17</v>
      </c>
      <c r="D70" s="3" t="s">
        <v>12</v>
      </c>
      <c r="E70" s="3" t="s">
        <v>19</v>
      </c>
      <c r="F70" s="3" t="s">
        <v>90</v>
      </c>
      <c r="G70" s="3" t="n">
        <v>2</v>
      </c>
      <c r="H70" s="4" t="n">
        <v>7792.99</v>
      </c>
      <c r="I70" s="4" t="n">
        <v>15585.98</v>
      </c>
    </row>
    <row r="71" customFormat="false" ht="15" hidden="false" customHeight="true" outlineLevel="0" collapsed="false">
      <c r="A71" s="3" t="s">
        <v>186</v>
      </c>
      <c r="B71" s="3" t="s">
        <v>187</v>
      </c>
      <c r="C71" s="3" t="s">
        <v>75</v>
      </c>
      <c r="D71" s="3" t="s">
        <v>35</v>
      </c>
      <c r="E71" s="3" t="s">
        <v>19</v>
      </c>
      <c r="F71" s="3" t="s">
        <v>90</v>
      </c>
      <c r="G71" s="3" t="n">
        <v>8</v>
      </c>
      <c r="H71" s="4" t="n">
        <v>2295.77</v>
      </c>
      <c r="I71" s="4" t="n">
        <v>18366.16</v>
      </c>
    </row>
    <row r="72" customFormat="false" ht="15" hidden="false" customHeight="true" outlineLevel="0" collapsed="false">
      <c r="A72" s="3" t="s">
        <v>188</v>
      </c>
      <c r="B72" s="3" t="s">
        <v>189</v>
      </c>
      <c r="C72" s="3" t="s">
        <v>190</v>
      </c>
      <c r="D72" s="3" t="s">
        <v>23</v>
      </c>
      <c r="E72" s="3" t="s">
        <v>13</v>
      </c>
      <c r="F72" s="3" t="s">
        <v>114</v>
      </c>
      <c r="G72" s="3" t="n">
        <v>5</v>
      </c>
      <c r="H72" s="4" t="n">
        <v>7383.79</v>
      </c>
      <c r="I72" s="4" t="n">
        <v>36918.95</v>
      </c>
    </row>
    <row r="73" customFormat="false" ht="15" hidden="false" customHeight="true" outlineLevel="0" collapsed="false">
      <c r="A73" s="3" t="s">
        <v>191</v>
      </c>
      <c r="B73" s="3" t="s">
        <v>189</v>
      </c>
      <c r="C73" s="3" t="s">
        <v>75</v>
      </c>
      <c r="D73" s="3" t="s">
        <v>12</v>
      </c>
      <c r="E73" s="3" t="s">
        <v>27</v>
      </c>
      <c r="F73" s="3" t="s">
        <v>156</v>
      </c>
      <c r="G73" s="3" t="n">
        <v>8</v>
      </c>
      <c r="H73" s="4" t="n">
        <v>44.1</v>
      </c>
      <c r="I73" s="4" t="n">
        <v>352.8</v>
      </c>
    </row>
    <row r="74" customFormat="false" ht="15" hidden="false" customHeight="true" outlineLevel="0" collapsed="false">
      <c r="A74" s="3" t="s">
        <v>192</v>
      </c>
      <c r="B74" s="3" t="s">
        <v>189</v>
      </c>
      <c r="C74" s="3" t="s">
        <v>97</v>
      </c>
      <c r="D74" s="3" t="s">
        <v>18</v>
      </c>
      <c r="E74" s="3" t="s">
        <v>13</v>
      </c>
      <c r="F74" s="3" t="s">
        <v>14</v>
      </c>
      <c r="G74" s="3" t="n">
        <v>5</v>
      </c>
      <c r="H74" s="4" t="n">
        <v>12427.31</v>
      </c>
      <c r="I74" s="4" t="n">
        <v>62136.55</v>
      </c>
    </row>
    <row r="75" customFormat="false" ht="15" hidden="false" customHeight="true" outlineLevel="0" collapsed="false">
      <c r="A75" s="3" t="s">
        <v>193</v>
      </c>
      <c r="B75" s="3" t="s">
        <v>194</v>
      </c>
      <c r="C75" s="3" t="s">
        <v>44</v>
      </c>
      <c r="D75" s="3" t="s">
        <v>23</v>
      </c>
      <c r="E75" s="3" t="s">
        <v>19</v>
      </c>
      <c r="F75" s="3" t="s">
        <v>90</v>
      </c>
      <c r="G75" s="3" t="n">
        <v>4</v>
      </c>
      <c r="H75" s="4" t="n">
        <v>4452.1</v>
      </c>
      <c r="I75" s="4" t="n">
        <v>17808.4</v>
      </c>
    </row>
    <row r="76" customFormat="false" ht="15" hidden="false" customHeight="true" outlineLevel="0" collapsed="false">
      <c r="A76" s="3" t="s">
        <v>195</v>
      </c>
      <c r="B76" s="3" t="s">
        <v>194</v>
      </c>
      <c r="C76" s="3" t="s">
        <v>17</v>
      </c>
      <c r="D76" s="3" t="s">
        <v>35</v>
      </c>
      <c r="E76" s="3" t="s">
        <v>13</v>
      </c>
      <c r="F76" s="3" t="s">
        <v>114</v>
      </c>
      <c r="G76" s="3" t="n">
        <v>8</v>
      </c>
      <c r="H76" s="4" t="n">
        <v>9192.97</v>
      </c>
      <c r="I76" s="4" t="n">
        <v>73543.76</v>
      </c>
    </row>
    <row r="77" customFormat="false" ht="15" hidden="false" customHeight="true" outlineLevel="0" collapsed="false">
      <c r="A77" s="3" t="s">
        <v>196</v>
      </c>
      <c r="B77" s="3" t="s">
        <v>197</v>
      </c>
      <c r="C77" s="3" t="s">
        <v>75</v>
      </c>
      <c r="D77" s="3" t="s">
        <v>12</v>
      </c>
      <c r="E77" s="3" t="s">
        <v>19</v>
      </c>
      <c r="F77" s="3" t="s">
        <v>20</v>
      </c>
      <c r="G77" s="3" t="n">
        <v>2</v>
      </c>
      <c r="H77" s="4" t="n">
        <v>4859.15</v>
      </c>
      <c r="I77" s="4" t="n">
        <v>9718.3</v>
      </c>
    </row>
    <row r="78" customFormat="false" ht="15" hidden="false" customHeight="true" outlineLevel="0" collapsed="false">
      <c r="A78" s="3" t="s">
        <v>198</v>
      </c>
      <c r="B78" s="3" t="s">
        <v>199</v>
      </c>
      <c r="C78" s="3" t="s">
        <v>174</v>
      </c>
      <c r="D78" s="3" t="s">
        <v>18</v>
      </c>
      <c r="E78" s="3" t="s">
        <v>27</v>
      </c>
      <c r="F78" s="3" t="s">
        <v>156</v>
      </c>
      <c r="G78" s="3" t="n">
        <v>8</v>
      </c>
      <c r="H78" s="4" t="n">
        <v>187.84</v>
      </c>
      <c r="I78" s="4" t="n">
        <v>1502.72</v>
      </c>
    </row>
    <row r="79" customFormat="false" ht="15" hidden="false" customHeight="true" outlineLevel="0" collapsed="false">
      <c r="A79" s="3" t="s">
        <v>200</v>
      </c>
      <c r="B79" s="3" t="s">
        <v>201</v>
      </c>
      <c r="C79" s="3" t="s">
        <v>202</v>
      </c>
      <c r="D79" s="3" t="s">
        <v>18</v>
      </c>
      <c r="E79" s="3" t="s">
        <v>13</v>
      </c>
      <c r="F79" s="3" t="s">
        <v>14</v>
      </c>
      <c r="G79" s="3" t="n">
        <v>5</v>
      </c>
      <c r="H79" s="4" t="n">
        <v>9003.18</v>
      </c>
      <c r="I79" s="4" t="n">
        <v>45015.9</v>
      </c>
    </row>
    <row r="80" customFormat="false" ht="15" hidden="false" customHeight="true" outlineLevel="0" collapsed="false">
      <c r="A80" s="3" t="s">
        <v>203</v>
      </c>
      <c r="B80" s="3" t="s">
        <v>201</v>
      </c>
      <c r="C80" s="3" t="s">
        <v>97</v>
      </c>
      <c r="D80" s="3" t="s">
        <v>35</v>
      </c>
      <c r="E80" s="3" t="s">
        <v>27</v>
      </c>
      <c r="F80" s="3" t="s">
        <v>136</v>
      </c>
      <c r="G80" s="3" t="n">
        <v>7</v>
      </c>
      <c r="H80" s="4" t="n">
        <v>95.92</v>
      </c>
      <c r="I80" s="4" t="n">
        <v>671.44</v>
      </c>
    </row>
    <row r="81" customFormat="false" ht="15" hidden="false" customHeight="true" outlineLevel="0" collapsed="false">
      <c r="A81" s="3" t="s">
        <v>204</v>
      </c>
      <c r="B81" s="3" t="s">
        <v>205</v>
      </c>
      <c r="C81" s="3" t="s">
        <v>51</v>
      </c>
      <c r="D81" s="3" t="s">
        <v>23</v>
      </c>
      <c r="E81" s="3" t="s">
        <v>27</v>
      </c>
      <c r="F81" s="3" t="s">
        <v>28</v>
      </c>
      <c r="G81" s="3" t="n">
        <v>1</v>
      </c>
      <c r="H81" s="4" t="n">
        <v>448.48</v>
      </c>
      <c r="I81" s="4" t="n">
        <v>448.48</v>
      </c>
    </row>
    <row r="82" customFormat="false" ht="15" hidden="false" customHeight="true" outlineLevel="0" collapsed="false">
      <c r="A82" s="3" t="s">
        <v>206</v>
      </c>
      <c r="B82" s="3" t="s">
        <v>207</v>
      </c>
      <c r="C82" s="3" t="s">
        <v>58</v>
      </c>
      <c r="D82" s="3" t="s">
        <v>23</v>
      </c>
      <c r="E82" s="3" t="s">
        <v>19</v>
      </c>
      <c r="F82" s="3" t="s">
        <v>90</v>
      </c>
      <c r="G82" s="3" t="n">
        <v>6</v>
      </c>
      <c r="H82" s="4" t="n">
        <v>5909.8</v>
      </c>
      <c r="I82" s="4" t="n">
        <v>35458.8</v>
      </c>
    </row>
    <row r="83" customFormat="false" ht="15" hidden="false" customHeight="true" outlineLevel="0" collapsed="false">
      <c r="A83" s="3" t="s">
        <v>208</v>
      </c>
      <c r="B83" s="3" t="s">
        <v>209</v>
      </c>
      <c r="C83" s="3" t="s">
        <v>44</v>
      </c>
      <c r="D83" s="3" t="s">
        <v>23</v>
      </c>
      <c r="E83" s="3" t="s">
        <v>13</v>
      </c>
      <c r="F83" s="3" t="s">
        <v>48</v>
      </c>
      <c r="G83" s="3" t="n">
        <v>1</v>
      </c>
      <c r="H83" s="4" t="n">
        <v>14039.98</v>
      </c>
      <c r="I83" s="4" t="n">
        <v>14039.98</v>
      </c>
    </row>
    <row r="84" customFormat="false" ht="15" hidden="false" customHeight="true" outlineLevel="0" collapsed="false">
      <c r="A84" s="3" t="s">
        <v>210</v>
      </c>
      <c r="B84" s="3" t="s">
        <v>211</v>
      </c>
      <c r="C84" s="3" t="s">
        <v>135</v>
      </c>
      <c r="D84" s="3" t="s">
        <v>12</v>
      </c>
      <c r="E84" s="3" t="s">
        <v>27</v>
      </c>
      <c r="F84" s="3" t="s">
        <v>104</v>
      </c>
      <c r="G84" s="3" t="n">
        <v>5</v>
      </c>
      <c r="H84" s="4" t="n">
        <v>262.6</v>
      </c>
      <c r="I84" s="4" t="n">
        <v>1313</v>
      </c>
    </row>
    <row r="85" customFormat="false" ht="15" hidden="false" customHeight="true" outlineLevel="0" collapsed="false">
      <c r="A85" s="3" t="s">
        <v>212</v>
      </c>
      <c r="B85" s="3" t="s">
        <v>213</v>
      </c>
      <c r="C85" s="3" t="s">
        <v>65</v>
      </c>
      <c r="D85" s="3" t="s">
        <v>18</v>
      </c>
      <c r="E85" s="3" t="s">
        <v>13</v>
      </c>
      <c r="F85" s="3" t="s">
        <v>39</v>
      </c>
      <c r="G85" s="3" t="n">
        <v>4</v>
      </c>
      <c r="H85" s="4" t="n">
        <v>10742.29</v>
      </c>
      <c r="I85" s="4" t="n">
        <v>42969.16</v>
      </c>
    </row>
    <row r="86" customFormat="false" ht="15" hidden="false" customHeight="true" outlineLevel="0" collapsed="false">
      <c r="A86" s="3" t="s">
        <v>214</v>
      </c>
      <c r="B86" s="3" t="s">
        <v>213</v>
      </c>
      <c r="C86" s="3" t="s">
        <v>42</v>
      </c>
      <c r="D86" s="3" t="s">
        <v>23</v>
      </c>
      <c r="E86" s="3" t="s">
        <v>27</v>
      </c>
      <c r="F86" s="3" t="s">
        <v>94</v>
      </c>
      <c r="G86" s="3" t="n">
        <v>5</v>
      </c>
      <c r="H86" s="4" t="n">
        <v>201.97</v>
      </c>
      <c r="I86" s="4" t="n">
        <v>1009.85</v>
      </c>
    </row>
    <row r="87" customFormat="false" ht="15" hidden="false" customHeight="true" outlineLevel="0" collapsed="false">
      <c r="A87" s="3" t="s">
        <v>215</v>
      </c>
      <c r="B87" s="3" t="s">
        <v>216</v>
      </c>
      <c r="C87" s="3" t="s">
        <v>54</v>
      </c>
      <c r="D87" s="3" t="s">
        <v>23</v>
      </c>
      <c r="E87" s="3" t="s">
        <v>19</v>
      </c>
      <c r="F87" s="3" t="s">
        <v>59</v>
      </c>
      <c r="G87" s="3" t="n">
        <v>2</v>
      </c>
      <c r="H87" s="4" t="n">
        <v>2214.65</v>
      </c>
      <c r="I87" s="4" t="n">
        <v>4429.3</v>
      </c>
    </row>
    <row r="88" customFormat="false" ht="15" hidden="false" customHeight="true" outlineLevel="0" collapsed="false">
      <c r="A88" s="3" t="s">
        <v>217</v>
      </c>
      <c r="B88" s="3" t="s">
        <v>218</v>
      </c>
      <c r="C88" s="3" t="s">
        <v>44</v>
      </c>
      <c r="D88" s="3" t="s">
        <v>12</v>
      </c>
      <c r="E88" s="3" t="s">
        <v>13</v>
      </c>
      <c r="F88" s="3" t="s">
        <v>39</v>
      </c>
      <c r="G88" s="3" t="n">
        <v>4</v>
      </c>
      <c r="H88" s="4" t="n">
        <v>2281.99</v>
      </c>
      <c r="I88" s="4" t="n">
        <v>9127.96</v>
      </c>
    </row>
    <row r="89" customFormat="false" ht="15" hidden="false" customHeight="true" outlineLevel="0" collapsed="false">
      <c r="A89" s="3" t="s">
        <v>219</v>
      </c>
      <c r="B89" s="3" t="s">
        <v>218</v>
      </c>
      <c r="C89" s="3" t="s">
        <v>220</v>
      </c>
      <c r="D89" s="3" t="s">
        <v>12</v>
      </c>
      <c r="E89" s="3" t="s">
        <v>27</v>
      </c>
      <c r="F89" s="3" t="s">
        <v>104</v>
      </c>
      <c r="G89" s="3" t="n">
        <v>5</v>
      </c>
      <c r="H89" s="4" t="n">
        <v>137.55</v>
      </c>
      <c r="I89" s="4" t="n">
        <v>687.75</v>
      </c>
    </row>
    <row r="90" customFormat="false" ht="15" hidden="false" customHeight="true" outlineLevel="0" collapsed="false">
      <c r="A90" s="3" t="s">
        <v>221</v>
      </c>
      <c r="B90" s="3" t="s">
        <v>218</v>
      </c>
      <c r="C90" s="3" t="s">
        <v>222</v>
      </c>
      <c r="D90" s="3" t="s">
        <v>18</v>
      </c>
      <c r="E90" s="3" t="s">
        <v>27</v>
      </c>
      <c r="F90" s="3" t="s">
        <v>104</v>
      </c>
      <c r="G90" s="3" t="n">
        <v>3</v>
      </c>
      <c r="H90" s="4" t="n">
        <v>281.88</v>
      </c>
      <c r="I90" s="4" t="n">
        <v>845.64</v>
      </c>
    </row>
    <row r="91" customFormat="false" ht="15" hidden="false" customHeight="true" outlineLevel="0" collapsed="false">
      <c r="A91" s="3" t="s">
        <v>223</v>
      </c>
      <c r="B91" s="3" t="s">
        <v>224</v>
      </c>
      <c r="C91" s="3" t="s">
        <v>17</v>
      </c>
      <c r="D91" s="3" t="s">
        <v>35</v>
      </c>
      <c r="E91" s="3" t="s">
        <v>13</v>
      </c>
      <c r="F91" s="3" t="s">
        <v>48</v>
      </c>
      <c r="G91" s="3" t="n">
        <v>4</v>
      </c>
      <c r="H91" s="4" t="n">
        <v>13197.53</v>
      </c>
      <c r="I91" s="4" t="n">
        <v>52790.12</v>
      </c>
    </row>
    <row r="92" customFormat="false" ht="15" hidden="false" customHeight="true" outlineLevel="0" collapsed="false">
      <c r="A92" s="3" t="s">
        <v>225</v>
      </c>
      <c r="B92" s="3" t="s">
        <v>226</v>
      </c>
      <c r="C92" s="3" t="s">
        <v>71</v>
      </c>
      <c r="D92" s="3" t="s">
        <v>12</v>
      </c>
      <c r="E92" s="3" t="s">
        <v>19</v>
      </c>
      <c r="F92" s="3" t="s">
        <v>90</v>
      </c>
      <c r="G92" s="3" t="n">
        <v>6</v>
      </c>
      <c r="H92" s="4" t="n">
        <v>830.97</v>
      </c>
      <c r="I92" s="4" t="n">
        <v>4985.82</v>
      </c>
    </row>
    <row r="93" customFormat="false" ht="15" hidden="false" customHeight="true" outlineLevel="0" collapsed="false">
      <c r="A93" s="3" t="s">
        <v>227</v>
      </c>
      <c r="B93" s="3" t="s">
        <v>228</v>
      </c>
      <c r="C93" s="3" t="s">
        <v>89</v>
      </c>
      <c r="D93" s="3" t="s">
        <v>12</v>
      </c>
      <c r="E93" s="3" t="s">
        <v>19</v>
      </c>
      <c r="F93" s="3" t="s">
        <v>59</v>
      </c>
      <c r="G93" s="3" t="n">
        <v>6</v>
      </c>
      <c r="H93" s="4" t="n">
        <v>1591.98</v>
      </c>
      <c r="I93" s="4" t="n">
        <v>9551.88</v>
      </c>
    </row>
    <row r="94" customFormat="false" ht="15" hidden="false" customHeight="true" outlineLevel="0" collapsed="false">
      <c r="A94" s="3" t="s">
        <v>229</v>
      </c>
      <c r="B94" s="3" t="s">
        <v>228</v>
      </c>
      <c r="C94" s="3" t="s">
        <v>75</v>
      </c>
      <c r="D94" s="3" t="s">
        <v>12</v>
      </c>
      <c r="E94" s="3" t="s">
        <v>13</v>
      </c>
      <c r="F94" s="3" t="s">
        <v>230</v>
      </c>
      <c r="G94" s="3" t="n">
        <v>5</v>
      </c>
      <c r="H94" s="4" t="n">
        <v>5851.11</v>
      </c>
      <c r="I94" s="4" t="n">
        <v>29255.55</v>
      </c>
    </row>
    <row r="95" customFormat="false" ht="15" hidden="false" customHeight="true" outlineLevel="0" collapsed="false">
      <c r="A95" s="3" t="s">
        <v>231</v>
      </c>
      <c r="B95" s="3" t="s">
        <v>232</v>
      </c>
      <c r="C95" s="3" t="s">
        <v>38</v>
      </c>
      <c r="D95" s="3" t="s">
        <v>35</v>
      </c>
      <c r="E95" s="3" t="s">
        <v>19</v>
      </c>
      <c r="F95" s="3" t="s">
        <v>55</v>
      </c>
      <c r="G95" s="3" t="n">
        <v>5</v>
      </c>
      <c r="H95" s="4" t="n">
        <v>4268.98</v>
      </c>
      <c r="I95" s="4" t="n">
        <v>21344.9</v>
      </c>
    </row>
    <row r="96" customFormat="false" ht="15" hidden="false" customHeight="true" outlineLevel="0" collapsed="false">
      <c r="A96" s="3" t="s">
        <v>233</v>
      </c>
      <c r="B96" s="3" t="s">
        <v>234</v>
      </c>
      <c r="C96" s="3" t="s">
        <v>65</v>
      </c>
      <c r="D96" s="3" t="s">
        <v>18</v>
      </c>
      <c r="E96" s="3" t="s">
        <v>13</v>
      </c>
      <c r="F96" s="3" t="s">
        <v>62</v>
      </c>
      <c r="G96" s="3" t="n">
        <v>4</v>
      </c>
      <c r="H96" s="4" t="n">
        <v>13172.78</v>
      </c>
      <c r="I96" s="4" t="n">
        <v>52691.12</v>
      </c>
    </row>
    <row r="97" customFormat="false" ht="15" hidden="false" customHeight="true" outlineLevel="0" collapsed="false">
      <c r="A97" s="3" t="s">
        <v>235</v>
      </c>
      <c r="B97" s="3" t="s">
        <v>236</v>
      </c>
      <c r="C97" s="3" t="s">
        <v>237</v>
      </c>
      <c r="D97" s="3" t="s">
        <v>35</v>
      </c>
      <c r="E97" s="3" t="s">
        <v>19</v>
      </c>
      <c r="F97" s="3" t="s">
        <v>59</v>
      </c>
      <c r="G97" s="3" t="n">
        <v>1</v>
      </c>
      <c r="H97" s="4" t="n">
        <v>5538.18</v>
      </c>
      <c r="I97" s="4" t="n">
        <v>5538.18</v>
      </c>
    </row>
    <row r="98" customFormat="false" ht="15" hidden="false" customHeight="true" outlineLevel="0" collapsed="false">
      <c r="A98" s="3" t="s">
        <v>238</v>
      </c>
      <c r="B98" s="3" t="s">
        <v>239</v>
      </c>
      <c r="C98" s="3" t="s">
        <v>81</v>
      </c>
      <c r="D98" s="3" t="s">
        <v>35</v>
      </c>
      <c r="E98" s="3" t="s">
        <v>19</v>
      </c>
      <c r="F98" s="3" t="s">
        <v>24</v>
      </c>
      <c r="G98" s="3" t="n">
        <v>7</v>
      </c>
      <c r="H98" s="4" t="n">
        <v>5532.29</v>
      </c>
      <c r="I98" s="4" t="n">
        <v>38726.03</v>
      </c>
    </row>
    <row r="99" customFormat="false" ht="15" hidden="false" customHeight="true" outlineLevel="0" collapsed="false">
      <c r="A99" s="3" t="s">
        <v>240</v>
      </c>
      <c r="B99" s="3" t="s">
        <v>241</v>
      </c>
      <c r="C99" s="3" t="s">
        <v>65</v>
      </c>
      <c r="D99" s="3" t="s">
        <v>12</v>
      </c>
      <c r="E99" s="3" t="s">
        <v>19</v>
      </c>
      <c r="F99" s="3" t="s">
        <v>69</v>
      </c>
      <c r="G99" s="3" t="n">
        <v>1</v>
      </c>
      <c r="H99" s="4" t="n">
        <v>6059.41</v>
      </c>
      <c r="I99" s="4" t="n">
        <v>6059.41</v>
      </c>
    </row>
    <row r="100" customFormat="false" ht="15" hidden="false" customHeight="true" outlineLevel="0" collapsed="false">
      <c r="A100" s="3" t="s">
        <v>242</v>
      </c>
      <c r="B100" s="3" t="s">
        <v>243</v>
      </c>
      <c r="C100" s="3" t="s">
        <v>107</v>
      </c>
      <c r="D100" s="3" t="s">
        <v>18</v>
      </c>
      <c r="E100" s="3" t="s">
        <v>27</v>
      </c>
      <c r="F100" s="3" t="s">
        <v>94</v>
      </c>
      <c r="G100" s="3" t="n">
        <v>1</v>
      </c>
      <c r="H100" s="4" t="n">
        <v>432.62</v>
      </c>
      <c r="I100" s="4" t="n">
        <v>432.62</v>
      </c>
    </row>
    <row r="101" customFormat="false" ht="15" hidden="false" customHeight="true" outlineLevel="0" collapsed="false">
      <c r="A101" s="3" t="s">
        <v>244</v>
      </c>
      <c r="B101" s="3" t="s">
        <v>245</v>
      </c>
      <c r="C101" s="3" t="s">
        <v>107</v>
      </c>
      <c r="D101" s="3" t="s">
        <v>12</v>
      </c>
      <c r="E101" s="3" t="s">
        <v>19</v>
      </c>
      <c r="F101" s="3" t="s">
        <v>24</v>
      </c>
      <c r="G101" s="3" t="n">
        <v>6</v>
      </c>
      <c r="H101" s="4" t="n">
        <v>4745.61</v>
      </c>
      <c r="I101" s="4" t="n">
        <v>28473.66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true" outlineLevel="0" max="8" min="8" style="0" width="20"/>
    <col collapsed="false" customWidth="true" hidden="true" outlineLevel="0" max="9" min="9" style="0" width="14"/>
  </cols>
  <sheetData>
    <row r="1" customFormat="false" ht="19.7" hidden="false" customHeight="false" outlineLevel="0" collapsed="false">
      <c r="A1" s="5" t="s">
        <v>246</v>
      </c>
      <c r="B1" s="5"/>
      <c r="H1" s="6" t="s">
        <v>247</v>
      </c>
      <c r="I1" s="6" t="s">
        <v>248</v>
      </c>
    </row>
    <row r="2" customFormat="false" ht="15" hidden="false" customHeight="false" outlineLevel="0" collapsed="false">
      <c r="A2" s="7" t="s">
        <v>249</v>
      </c>
      <c r="B2" s="7"/>
      <c r="H2" s="0" t="s">
        <v>230</v>
      </c>
      <c r="I2" s="8" t="n">
        <f aca="false">SUMIFS(SalesTable[Sales],SalesTable[Product Name],H2)</f>
        <v>29255.55</v>
      </c>
    </row>
    <row r="3" customFormat="false" ht="15" hidden="false" customHeight="false" outlineLevel="0" collapsed="false">
      <c r="H3" s="0" t="s">
        <v>129</v>
      </c>
      <c r="I3" s="8" t="n">
        <f aca="false">SUMIFS(SalesTable[Sales],SalesTable[Product Name],H3)</f>
        <v>2323.65</v>
      </c>
    </row>
    <row r="4" customFormat="false" ht="15" hidden="false" customHeight="false" outlineLevel="0" collapsed="false">
      <c r="A4" s="9" t="s">
        <v>250</v>
      </c>
      <c r="B4" s="10" t="n">
        <f aca="false">SUM(SalesTable[Sales])</f>
        <v>1739354.61</v>
      </c>
      <c r="H4" s="0" t="s">
        <v>90</v>
      </c>
      <c r="I4" s="8" t="n">
        <f aca="false">SUMIFS(SalesTable[Sales],SalesTable[Product Name],H4)</f>
        <v>172817.89</v>
      </c>
    </row>
    <row r="5" customFormat="false" ht="15" hidden="false" customHeight="false" outlineLevel="0" collapsed="false">
      <c r="A5" s="9" t="s">
        <v>251</v>
      </c>
      <c r="B5" s="11" t="n">
        <f aca="false">SUM(SalesTable[Quantity])</f>
        <v>427</v>
      </c>
      <c r="H5" s="0" t="s">
        <v>114</v>
      </c>
      <c r="I5" s="8" t="n">
        <f aca="false">SUMIFS(SalesTable[Sales],SalesTable[Product Name],H5)</f>
        <v>158775.86</v>
      </c>
    </row>
    <row r="6" customFormat="false" ht="15" hidden="false" customHeight="false" outlineLevel="0" collapsed="false">
      <c r="A6" s="9" t="s">
        <v>252</v>
      </c>
      <c r="B6" s="11" t="n">
        <f aca="false">COUNTA(SalesTable[Order ID])</f>
        <v>100</v>
      </c>
      <c r="H6" s="0" t="s">
        <v>78</v>
      </c>
      <c r="I6" s="8" t="n">
        <f aca="false">SUMIFS(SalesTable[Sales],SalesTable[Product Name],H6)</f>
        <v>1563.9</v>
      </c>
    </row>
    <row r="7" customFormat="false" ht="15" hidden="false" customHeight="false" outlineLevel="0" collapsed="false">
      <c r="A7" s="9" t="s">
        <v>253</v>
      </c>
      <c r="B7" s="10" t="n">
        <f aca="false">B4/B6</f>
        <v>17393.5461</v>
      </c>
      <c r="H7" s="0" t="s">
        <v>156</v>
      </c>
      <c r="I7" s="8" t="n">
        <f aca="false">SUMIFS(SalesTable[Sales],SalesTable[Product Name],H7)</f>
        <v>6452.02</v>
      </c>
    </row>
    <row r="8" customFormat="false" ht="15" hidden="false" customHeight="false" outlineLevel="0" collapsed="false">
      <c r="A8" s="9" t="s">
        <v>254</v>
      </c>
      <c r="B8" s="12" t="str">
        <f aca="false">INDEX(H2:H20,MATCH(MAX(I2:I20),I2:I20,0))</f>
        <v>Office Chair</v>
      </c>
      <c r="H8" s="0" t="s">
        <v>62</v>
      </c>
      <c r="I8" s="8" t="n">
        <f aca="false">SUMIFS(SalesTable[Sales],SalesTable[Product Name],H8)</f>
        <v>258190.92</v>
      </c>
    </row>
    <row r="9" customFormat="false" ht="15" hidden="false" customHeight="false" outlineLevel="0" collapsed="false">
      <c r="H9" s="0" t="s">
        <v>104</v>
      </c>
      <c r="I9" s="8" t="n">
        <f aca="false">SUMIFS(SalesTable[Sales],SalesTable[Product Name],H9)</f>
        <v>11008.06</v>
      </c>
    </row>
    <row r="10" customFormat="false" ht="15" hidden="false" customHeight="false" outlineLevel="0" collapsed="false">
      <c r="H10" s="0" t="s">
        <v>69</v>
      </c>
      <c r="I10" s="8" t="n">
        <f aca="false">SUMIFS(SalesTable[Sales],SalesTable[Product Name],H10)</f>
        <v>142393.47</v>
      </c>
    </row>
    <row r="11" customFormat="false" ht="15" hidden="false" customHeight="false" outlineLevel="0" collapsed="false">
      <c r="H11" s="0" t="s">
        <v>20</v>
      </c>
      <c r="I11" s="8" t="n">
        <f aca="false">SUMIFS(SalesTable[Sales],SalesTable[Product Name],H11)</f>
        <v>121047.41</v>
      </c>
    </row>
    <row r="12" customFormat="false" ht="15" hidden="false" customHeight="false" outlineLevel="0" collapsed="false">
      <c r="H12" s="0" t="s">
        <v>24</v>
      </c>
      <c r="I12" s="8" t="n">
        <f aca="false">SUMIFS(SalesTable[Sales],SalesTable[Product Name],H12)</f>
        <v>162297.1</v>
      </c>
    </row>
    <row r="13" customFormat="false" ht="15" hidden="false" customHeight="false" outlineLevel="0" collapsed="false">
      <c r="H13" s="0" t="s">
        <v>48</v>
      </c>
      <c r="I13" s="8" t="n">
        <f aca="false">SUMIFS(SalesTable[Sales],SalesTable[Product Name],H13)</f>
        <v>293957.91</v>
      </c>
    </row>
    <row r="14" customFormat="false" ht="15" hidden="false" customHeight="false" outlineLevel="0" collapsed="false">
      <c r="H14" s="0" t="s">
        <v>136</v>
      </c>
      <c r="I14" s="8" t="n">
        <f aca="false">SUMIFS(SalesTable[Sales],SalesTable[Product Name],H14)</f>
        <v>1567.48</v>
      </c>
    </row>
    <row r="15" customFormat="false" ht="15" hidden="false" customHeight="false" outlineLevel="0" collapsed="false">
      <c r="H15" s="0" t="s">
        <v>14</v>
      </c>
      <c r="I15" s="8" t="n">
        <f aca="false">SUMIFS(SalesTable[Sales],SalesTable[Product Name],H15)</f>
        <v>135143.05</v>
      </c>
    </row>
    <row r="16" customFormat="false" ht="15" hidden="false" customHeight="false" outlineLevel="0" collapsed="false">
      <c r="H16" s="0" t="s">
        <v>94</v>
      </c>
      <c r="I16" s="8" t="n">
        <f aca="false">SUMIFS(SalesTable[Sales],SalesTable[Product Name],H16)</f>
        <v>2869.81</v>
      </c>
    </row>
    <row r="17" customFormat="false" ht="15" hidden="false" customHeight="false" outlineLevel="0" collapsed="false">
      <c r="H17" s="0" t="s">
        <v>28</v>
      </c>
      <c r="I17" s="8" t="n">
        <f aca="false">SUMIFS(SalesTable[Sales],SalesTable[Product Name],H17)</f>
        <v>9537.1</v>
      </c>
    </row>
    <row r="18" customFormat="false" ht="15" hidden="false" customHeight="false" outlineLevel="0" collapsed="false">
      <c r="H18" s="0" t="s">
        <v>39</v>
      </c>
      <c r="I18" s="8" t="n">
        <f aca="false">SUMIFS(SalesTable[Sales],SalesTable[Product Name],H18)</f>
        <v>121797.19</v>
      </c>
    </row>
    <row r="19" customFormat="false" ht="15" hidden="false" customHeight="false" outlineLevel="0" collapsed="false">
      <c r="H19" s="0" t="s">
        <v>59</v>
      </c>
      <c r="I19" s="8" t="n">
        <f aca="false">SUMIFS(SalesTable[Sales],SalesTable[Product Name],H19)</f>
        <v>56145.93</v>
      </c>
    </row>
    <row r="20" customFormat="false" ht="15" hidden="false" customHeight="false" outlineLevel="0" collapsed="false">
      <c r="H20" s="0" t="s">
        <v>55</v>
      </c>
      <c r="I20" s="8" t="n">
        <f aca="false">SUMIFS(SalesTable[Sales],SalesTable[Product Name],H20)</f>
        <v>52210.31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2026-09-17T11:49:15Z</dcterms:created>
  <dc:creator/>
  <dc:description/>
  <dc:language>en-US</dc:language>
  <cp:lastModifiedBy/>
  <dcterms:modified xsi:type="dcterms:W3CDTF">2026-09-17T12:11:07Z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